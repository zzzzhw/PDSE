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83ebee45f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对比" sheetId="1" r:id="R6130057da68b4214"/>
    <x:sheet xmlns:r="http://schemas.openxmlformats.org/officeDocument/2006/relationships" name="月度统计" sheetId="2" r:id="Re6ec508e500e491e"/>
    <x:sheet xmlns:r="http://schemas.openxmlformats.org/officeDocument/2006/relationships" name="原始数据" sheetId="3" r:id="R15c6d867cbe64eb1"/>
    <x:sheet xmlns:r="http://schemas.openxmlformats.org/officeDocument/2006/relationships" name="来源与口径" sheetId="4" r:id="R2980a8396039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325A5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9"/>
      <x:color rgb="FF4B5563"/>
      <x:name val="Carlito"/>
    </x:font>
    <x:font>
      <x:b/>
      <x:sz val="10"/>
      <x:color rgb="FF134E4A"/>
      <x:name val="Carlito"/>
    </x:font>
    <x:font>
      <x:b/>
      <x:sz val="10"/>
      <x:color rgb="FF115E59"/>
      <x:name val="Carlito"/>
    </x:font>
    <x:font>
      <x:b/>
      <x:sz val="10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E8F1FB"/>
      </x:patternFill>
    </x:fill>
    <x:fill>
      <x:patternFill patternType="solid">
        <x:fgColor rgb="FFFDECEC"/>
      </x:patternFill>
    </x:fill>
    <x:fill>
      <x:patternFill patternType="solid">
        <x:fgColor rgb="FFFFF5D9"/>
      </x:patternFill>
    </x:fill>
    <x:fill>
      <x:patternFill patternType="solid">
        <x:fgColor rgb="FFD7ECE8"/>
      </x:patternFill>
    </x:fill>
    <x:fill>
      <x:patternFill patternType="solid">
        <x:fgColor rgb="FFF8FAFC"/>
      </x:patternFill>
    </x:fill>
  </x:fills>
  <x:borders count="22">
    <x:border/>
    <x:border>
      <x:right style="thin">
        <x:color rgb="FFC7D9D6"/>
      </x:right>
    </x:border>
    <x:border>
      <x:left style="thin">
        <x:color rgb="FFC7D9D6"/>
      </x:left>
      <x:right style="thin">
        <x:color rgb="FFC7D9D6"/>
      </x:right>
    </x:border>
    <x:border>
      <x:left style="thin">
        <x:color rgb="FFC7D9D6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right style="thin">
        <x:color rgb="FFC7D9D6"/>
      </x:right>
      <x:bottom style="thin">
        <x:color rgb="FFE5E7EB"/>
      </x:bottom>
    </x:border>
    <x:border>
      <x:right style="thin">
        <x:color rgb="FFC7D9D6"/>
      </x:right>
      <x:top style="thin">
        <x:color rgb="FFE5E7EB"/>
      </x:top>
      <x:bottom style="thin">
        <x:color rgb="FFE5E7EB"/>
      </x:bottom>
    </x:border>
    <x:border>
      <x:right style="thin">
        <x:color rgb="FFC7D9D6"/>
      </x:right>
      <x:top style="thin">
        <x:color rgb="FFE5E7EB"/>
      </x:top>
    </x:border>
    <x:border>
      <x:left style="thin">
        <x:color rgb="FFB7D6D1"/>
      </x:left>
      <x:right style="thin">
        <x:color rgb="FFB7D6D1"/>
      </x:right>
      <x:top style="thin">
        <x:color rgb="FFB7D6D1"/>
      </x:top>
      <x:bottom style="thin">
        <x:color rgb="FFB7D6D1"/>
      </x:bottom>
    </x:border>
    <x:border>
      <x:left style="thin">
        <x:color rgb="FF94A3A0"/>
      </x:left>
      <x:right style="thin">
        <x:color rgb="FFE5E7EB"/>
      </x:right>
      <x:top style="thin">
        <x:color rgb="FF94A3A0"/>
      </x:top>
      <x:bottom style="thin">
        <x:color rgb="FFD8E2E0"/>
      </x:bottom>
    </x:border>
    <x:border>
      <x:left style="thin">
        <x:color rgb="FFE5E7EB"/>
      </x:left>
      <x:right style="thin">
        <x:color rgb="FFE5E7EB"/>
      </x:right>
      <x:top style="thin">
        <x:color rgb="FF94A3A0"/>
      </x:top>
      <x:bottom style="thin">
        <x:color rgb="FFD8E2E0"/>
      </x:bottom>
    </x:border>
    <x:border>
      <x:left style="thin">
        <x:color rgb="FFE5E7EB"/>
      </x:left>
      <x:right style="thin">
        <x:color rgb="FF94A3A0"/>
      </x:right>
      <x:top style="thin">
        <x:color rgb="FF94A3A0"/>
      </x:top>
      <x:bottom style="thin">
        <x:color rgb="FFD8E2E0"/>
      </x:bottom>
    </x:border>
    <x:border>
      <x:left style="thin">
        <x:color rgb="FF94A3A0"/>
      </x:left>
      <x:right style="thin">
        <x:color rgb="FFE5E7EB"/>
      </x:right>
      <x:top style="thin">
        <x:color rgb="FFD8E2E0"/>
      </x:top>
      <x:bottom style="thin">
        <x:color rgb="FFD8E2E0"/>
      </x:bottom>
    </x:border>
    <x:border>
      <x:left style="thin">
        <x:color rgb="FFE5E7EB"/>
      </x:left>
      <x:right style="thin">
        <x:color rgb="FFE5E7EB"/>
      </x:right>
      <x:top style="thin">
        <x:color rgb="FFD8E2E0"/>
      </x:top>
      <x:bottom style="thin">
        <x:color rgb="FFD8E2E0"/>
      </x:bottom>
    </x:border>
    <x:border>
      <x:left style="thin">
        <x:color rgb="FFE5E7EB"/>
      </x:left>
      <x:right style="thin">
        <x:color rgb="FF94A3A0"/>
      </x:right>
      <x:top style="thin">
        <x:color rgb="FFD8E2E0"/>
      </x:top>
      <x:bottom style="thin">
        <x:color rgb="FFD8E2E0"/>
      </x:bottom>
    </x:border>
    <x:border>
      <x:left style="thin">
        <x:color rgb="FF94A3A0"/>
      </x:left>
      <x:right style="thin">
        <x:color rgb="FFE5E7EB"/>
      </x:right>
      <x:top style="thin">
        <x:color rgb="FFD8E2E0"/>
      </x:top>
      <x:bottom style="thin">
        <x:color rgb="FF94A3A0"/>
      </x:bottom>
    </x:border>
    <x:border>
      <x:left style="thin">
        <x:color rgb="FFE5E7EB"/>
      </x:left>
      <x:right style="thin">
        <x:color rgb="FFE5E7EB"/>
      </x:right>
      <x:top style="thin">
        <x:color rgb="FFD8E2E0"/>
      </x:top>
      <x:bottom style="thin">
        <x:color rgb="FF94A3A0"/>
      </x:bottom>
    </x:border>
    <x:border>
      <x:left style="thin">
        <x:color rgb="FFE5E7EB"/>
      </x:left>
      <x:right style="thin">
        <x:color rgb="FF94A3A0"/>
      </x:right>
      <x:top style="thin">
        <x:color rgb="FFD8E2E0"/>
      </x:top>
      <x:bottom style="thin">
        <x:color rgb="FF94A3A0"/>
      </x:bottom>
    </x:border>
    <x:border>
      <x:left style="medium">
        <x:color rgb="FF0F766E"/>
      </x:left>
      <x:right style="thin">
        <x:color rgb="FFE5E7EB"/>
      </x:right>
      <x:top style="thin">
        <x:color rgb="FF94A3A0"/>
      </x:top>
      <x:bottom style="thin">
        <x:color rgb="FFD8E2E0"/>
      </x:bottom>
    </x:border>
    <x:border>
      <x:left style="medium">
        <x:color rgb="FF0F766E"/>
      </x:left>
      <x:right style="thin">
        <x:color rgb="FFE5E7EB"/>
      </x:right>
      <x:top style="thin">
        <x:color rgb="FFD8E2E0"/>
      </x:top>
      <x:bottom style="thin">
        <x:color rgb="FFD8E2E0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1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0" fontId="4" fillId="0" borderId="6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201" fontId="4" fillId="6" borderId="4" xfId="0" applyNumberFormat="1" applyFont="1" applyFill="1" applyBorder="1" applyAlignment="1">
      <x:alignment vertical="center"/>
    </x:xf>
    <x:xf numFmtId="201" fontId="4" fillId="6" borderId="5" xfId="0" applyNumberFormat="1" applyFont="1" applyFill="1" applyBorder="1" applyAlignment="1">
      <x:alignment vertical="center"/>
    </x:xf>
    <x:xf numFmtId="201" fontId="4" fillId="6" borderId="6" xfId="0" applyNumberFormat="1" applyFont="1" applyFill="1" applyBorder="1" applyAlignment="1">
      <x:alignment vertical="center"/>
    </x:xf>
    <x:xf numFmtId="201" fontId="4" fillId="7" borderId="4" xfId="0" applyNumberFormat="1" applyFont="1" applyFill="1" applyBorder="1" applyAlignment="1">
      <x:alignment vertical="center"/>
    </x:xf>
    <x:xf numFmtId="201" fontId="4" fillId="7" borderId="5" xfId="0" applyNumberFormat="1" applyFont="1" applyFill="1" applyBorder="1" applyAlignment="1">
      <x:alignment vertical="center"/>
    </x:xf>
    <x:xf numFmtId="201" fontId="4" fillId="7" borderId="6" xfId="0" applyNumberFormat="1" applyFont="1" applyFill="1" applyBorder="1" applyAlignment="1">
      <x:alignment vertical="center"/>
    </x:xf>
    <x:xf numFmtId="201" fontId="4" fillId="7" borderId="7" xfId="0" applyNumberFormat="1" applyFont="1" applyFill="1" applyBorder="1" applyAlignment="1">
      <x:alignment vertical="center"/>
    </x:xf>
    <x:xf numFmtId="201" fontId="4" fillId="7" borderId="8" xfId="0" applyNumberFormat="1" applyFont="1" applyFill="1" applyBorder="1" applyAlignment="1">
      <x:alignment vertical="center"/>
    </x:xf>
    <x:xf numFmtId="201" fontId="4" fillId="7" borderId="9" xfId="0" applyNumberFormat="1" applyFont="1" applyFill="1" applyBorder="1" applyAlignment="1">
      <x:alignment vertical="center"/>
    </x:xf>
    <x:xf numFmtId="0" fontId="3" fillId="4" borderId="10" xfId="0" applyNumberFormat="1" applyFont="1" applyFill="1" applyBorder="1"/>
    <x:xf numFmtId="0" fontId="3" fillId="4" borderId="10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0" xfId="0" applyNumberFormat="1" applyFont="1" applyFill="1" applyBorder="1"/>
    <x:xf numFmtId="0" fontId="6" fillId="8" borderId="10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0"/>
    </x:xf>
    <x:xf numFmtId="0" fontId="4" fillId="0" borderId="5" xfId="0" applyNumberFormat="1" applyFont="1" applyFill="1" applyBorder="1" applyAlignment="1">
      <x:alignment horizontal="center" vertical="center" wrapText="0"/>
    </x:xf>
    <x:xf numFmtId="0" fontId="4" fillId="0" borderId="6" xfId="0" applyNumberFormat="1" applyFont="1" applyFill="1" applyBorder="1" applyAlignment="1">
      <x:alignment horizontal="center" vertical="center" wrapText="0"/>
    </x:xf>
    <x:xf numFmtId="201" fontId="4" fillId="0" borderId="4" xfId="0" applyNumberFormat="1" applyFont="1" applyFill="1" applyBorder="1" applyAlignment="1">
      <x:alignment horizontal="center" vertical="center" wrapText="0"/>
    </x:xf>
    <x:xf numFmtId="201" fontId="4" fillId="0" borderId="5" xfId="0" applyNumberFormat="1" applyFont="1" applyFill="1" applyBorder="1" applyAlignment="1">
      <x:alignment horizontal="center" vertical="center" wrapText="0"/>
    </x:xf>
    <x:xf numFmtId="201" fontId="4" fillId="0" borderId="6" xfId="0" applyNumberFormat="1" applyFont="1" applyFill="1" applyBorder="1" applyAlignment="1">
      <x:alignment horizontal="center" vertical="center" wrapText="0"/>
    </x:xf>
    <x:xf numFmtId="0" fontId="4" fillId="9" borderId="4" xfId="0" applyNumberFormat="1" applyFont="1" applyFill="1" applyBorder="1" applyAlignment="1">
      <x:alignment horizontal="center" vertical="center" wrapText="0"/>
    </x:xf>
    <x:xf numFmtId="201" fontId="4" fillId="9" borderId="4" xfId="0" applyNumberFormat="1" applyFont="1" applyFill="1" applyBorder="1" applyAlignment="1">
      <x:alignment horizontal="center" vertical="center" wrapText="0"/>
    </x:xf>
    <x:xf numFmtId="0" fontId="4" fillId="3" borderId="5" xfId="0" applyNumberFormat="1" applyFont="1" applyFill="1" applyBorder="1" applyAlignment="1">
      <x:alignment horizontal="center" vertical="center" wrapText="0"/>
    </x:xf>
    <x:xf numFmtId="201" fontId="4" fillId="3" borderId="5" xfId="0" applyNumberFormat="1" applyFont="1" applyFill="1" applyBorder="1" applyAlignment="1">
      <x:alignment horizontal="center" vertical="center" wrapText="0"/>
    </x:xf>
    <x:xf numFmtId="0" fontId="4" fillId="9" borderId="5" xfId="0" applyNumberFormat="1" applyFont="1" applyFill="1" applyBorder="1" applyAlignment="1">
      <x:alignment horizontal="center" vertical="center" wrapText="0"/>
    </x:xf>
    <x:xf numFmtId="201" fontId="4" fillId="9" borderId="5" xfId="0" applyNumberFormat="1" applyFont="1" applyFill="1" applyBorder="1" applyAlignment="1">
      <x:alignment horizontal="center" vertical="center" wrapText="0"/>
    </x:xf>
    <x:xf numFmtId="0" fontId="4" fillId="3" borderId="6" xfId="0" applyNumberFormat="1" applyFont="1" applyFill="1" applyBorder="1" applyAlignment="1">
      <x:alignment horizontal="center" vertical="center" wrapText="0"/>
    </x:xf>
    <x:xf numFmtId="201" fontId="4" fillId="3" borderId="6" xfId="0" applyNumberFormat="1" applyFont="1" applyFill="1" applyBorder="1" applyAlignment="1">
      <x:alignment horizontal="center" vertical="center" wrapText="0"/>
    </x:xf>
    <x:xf numFmtId="0" fontId="7" fillId="3" borderId="5" xfId="0" applyNumberFormat="1" applyFont="1" applyFill="1" applyBorder="1" applyAlignment="1">
      <x:alignment horizontal="center" vertical="center" wrapText="0"/>
    </x:xf>
    <x:xf numFmtId="201" fontId="7" fillId="3" borderId="5" xfId="0" applyNumberFormat="1" applyFont="1" applyFill="1" applyBorder="1" applyAlignment="1">
      <x:alignment horizontal="center" vertical="center" wrapText="0"/>
    </x:xf>
    <x:xf numFmtId="0" fontId="7" fillId="3" borderId="6" xfId="0" applyNumberFormat="1" applyFont="1" applyFill="1" applyBorder="1" applyAlignment="1">
      <x:alignment horizontal="center" vertical="center" wrapText="0"/>
    </x:xf>
    <x:xf numFmtId="201" fontId="7" fillId="3" borderId="6" xfId="0" applyNumberFormat="1" applyFont="1" applyFill="1" applyBorder="1" applyAlignment="1">
      <x:alignment horizontal="center" vertical="center" wrapText="0"/>
    </x:xf>
    <x:xf numFmtId="0" fontId="8" fillId="9" borderId="4" xfId="0" applyNumberFormat="1" applyFont="1" applyFill="1" applyBorder="1" applyAlignment="1">
      <x:alignment horizontal="center" vertical="center" wrapText="0"/>
    </x:xf>
    <x:xf numFmtId="0" fontId="8" fillId="3" borderId="5" xfId="0" applyNumberFormat="1" applyFont="1" applyFill="1" applyBorder="1" applyAlignment="1">
      <x:alignment horizontal="center" vertical="center" wrapText="0"/>
    </x:xf>
    <x:xf numFmtId="0" fontId="8" fillId="9" borderId="5" xfId="0" applyNumberFormat="1" applyFont="1" applyFill="1" applyBorder="1" applyAlignment="1">
      <x:alignment horizontal="center" vertical="center" wrapText="0"/>
    </x:xf>
    <x:xf numFmtId="0" fontId="8" fillId="3" borderId="6" xfId="0" applyNumberFormat="1" applyFont="1" applyFill="1" applyBorder="1" applyAlignment="1">
      <x:alignment horizontal="center" vertical="center" wrapText="0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6" fillId="8" borderId="14" xfId="0" applyNumberFormat="1" applyFont="1" applyFill="1" applyBorder="1" applyAlignment="1">
      <x:alignment horizontal="center" vertical="center" wrapText="1"/>
    </x:xf>
    <x:xf numFmtId="0" fontId="6" fillId="8" borderId="15" xfId="0" applyNumberFormat="1" applyFont="1" applyFill="1" applyBorder="1" applyAlignment="1">
      <x:alignment horizontal="center" vertical="center" wrapText="1"/>
    </x:xf>
    <x:xf numFmtId="0" fontId="6" fillId="8" borderId="16" xfId="0" applyNumberFormat="1" applyFont="1" applyFill="1" applyBorder="1" applyAlignment="1">
      <x:alignment horizontal="center" vertical="center" wrapText="1"/>
    </x:xf>
    <x:xf numFmtId="0" fontId="8" fillId="9" borderId="14" xfId="0" applyNumberFormat="1" applyFont="1" applyFill="1" applyBorder="1" applyAlignment="1">
      <x:alignment horizontal="center" vertical="center" wrapText="0"/>
    </x:xf>
    <x:xf numFmtId="201" fontId="4" fillId="9" borderId="15" xfId="0" applyNumberFormat="1" applyFont="1" applyFill="1" applyBorder="1" applyAlignment="1">
      <x:alignment horizontal="center" vertical="center" wrapText="0"/>
    </x:xf>
    <x:xf numFmtId="201" fontId="4" fillId="9" borderId="16" xfId="0" applyNumberFormat="1" applyFont="1" applyFill="1" applyBorder="1" applyAlignment="1">
      <x:alignment horizontal="center" vertical="center" wrapText="0"/>
    </x:xf>
    <x:xf numFmtId="0" fontId="8" fillId="3" borderId="14" xfId="0" applyNumberFormat="1" applyFont="1" applyFill="1" applyBorder="1" applyAlignment="1">
      <x:alignment horizontal="center" vertical="center" wrapText="0"/>
    </x:xf>
    <x:xf numFmtId="201" fontId="7" fillId="3" borderId="15" xfId="0" applyNumberFormat="1" applyFont="1" applyFill="1" applyBorder="1" applyAlignment="1">
      <x:alignment horizontal="center" vertical="center" wrapText="0"/>
    </x:xf>
    <x:xf numFmtId="201" fontId="7" fillId="3" borderId="16" xfId="0" applyNumberFormat="1" applyFont="1" applyFill="1" applyBorder="1" applyAlignment="1">
      <x:alignment horizontal="center" vertical="center" wrapText="0"/>
    </x:xf>
    <x:xf numFmtId="0" fontId="8" fillId="3" borderId="17" xfId="0" applyNumberFormat="1" applyFont="1" applyFill="1" applyBorder="1" applyAlignment="1">
      <x:alignment horizontal="center" vertical="center" wrapText="0"/>
    </x:xf>
    <x:xf numFmtId="201" fontId="7" fillId="3" borderId="18" xfId="0" applyNumberFormat="1" applyFont="1" applyFill="1" applyBorder="1" applyAlignment="1">
      <x:alignment horizontal="center" vertical="center" wrapText="0"/>
    </x:xf>
    <x:xf numFmtId="201" fontId="7" fillId="3" borderId="19" xfId="0" applyNumberFormat="1" applyFont="1" applyFill="1" applyBorder="1" applyAlignment="1">
      <x:alignment horizontal="center" vertical="center" wrapText="0"/>
    </x:xf>
    <x:xf numFmtId="0" fontId="3" fillId="4" borderId="20" xfId="0" applyNumberFormat="1" applyFont="1" applyFill="1" applyBorder="1" applyAlignment="1">
      <x:alignment horizontal="center" vertical="center"/>
    </x:xf>
    <x:xf numFmtId="0" fontId="6" fillId="8" borderId="21" xfId="0" applyNumberFormat="1" applyFont="1" applyFill="1" applyBorder="1" applyAlignment="1">
      <x:alignment horizontal="center" vertical="center" wrapText="1"/>
    </x:xf>
    <x:xf numFmtId="201" fontId="4" fillId="9" borderId="21" xfId="0" applyNumberFormat="1" applyFont="1" applyFill="1" applyBorder="1" applyAlignment="1">
      <x:alignment horizontal="center" vertical="center" wrapText="0"/>
    </x:xf>
    <x:xf numFmtId="201" fontId="7" fillId="3" borderId="21" xfId="0" applyNumberFormat="1" applyFont="1" applyFill="1" applyBorder="1" applyAlignment="1">
      <x:alignment horizontal="center" vertical="center" wrapText="0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2b2e394f84ca4" /><Relationship Type="http://schemas.openxmlformats.org/officeDocument/2006/relationships/theme" Target="/xl/theme/theme1.xml" Id="Rc34339ff563a4ed3" /><Relationship Type="http://schemas.openxmlformats.org/officeDocument/2006/relationships/sharedStrings" Target="/xl/sharedStrings.xml" Id="Ra0ec9a17e5b846b5" /><Relationship Type="http://schemas.openxmlformats.org/officeDocument/2006/relationships/worksheet" Target="/xl/worksheets/sheet1.xml" Id="R6130057da68b4214" /><Relationship Type="http://schemas.openxmlformats.org/officeDocument/2006/relationships/worksheet" Target="/xl/worksheets/sheet2.xml" Id="Re6ec508e500e491e" /><Relationship Type="http://schemas.openxmlformats.org/officeDocument/2006/relationships/worksheet" Target="/xl/worksheets/sheet3.xml" Id="R15c6d867cbe64eb1" /><Relationship Type="http://schemas.openxmlformats.org/officeDocument/2006/relationships/worksheet" Target="/xl/worksheets/sheet4.xml" Id="R2980a83960394972" /></Relationships>
</file>

<file path=xl/tables/table1.xml><?xml version="1.0" encoding="utf-8"?>
<x:table xmlns:x="http://schemas.openxmlformats.org/spreadsheetml/2006/main" id="2" name="MonthlyStatsTable" displayName="MonthlyStatsTable" ref="A4:I292" headerRowCount="1" totalsRowCount="0" totalsRowShown="0">
  <x:tableColumns count="9">
    <x:tableColumn id="1" name="方法"/>
    <x:tableColumn id="2" name="月份"/>
    <x:tableColumn id="3" name="配置数"/>
    <x:tableColumn id="4" name="F1均值"/>
    <x:tableColumn id="5" name="FNR均值"/>
    <x:tableColumn id="6" name="最差F1（最低）"/>
    <x:tableColumn id="7" name="最差FNR（最高）"/>
    <x:tableColumn id="8" name="F1标准差（总体）"/>
    <x:tableColumn id="9" name="FNR标准差（总体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awMetricsTable" displayName="RawMetricsTable" ref="A4:F1156" headerRowCount="1" totalsRowCount="0" totalsRowShown="0">
  <x:tableColumns count="6">
    <x:tableColumn id="1" name="方法"/>
    <x:tableColumn id="2" name="月份"/>
    <x:tableColumn id="3" name="配置"/>
    <x:tableColumn id="4" name="F1"/>
    <x:tableColumn id="5" name="FNR"/>
    <x:tableColumn id="6" name="来源文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FilesTable" displayName="SourceFilesTable" ref="A12:D28" headerRowCount="1" totalsRowCount="0" totalsRowShown="0">
  <x:tableColumns count="4">
    <x:tableColumn id="1" name="方法"/>
    <x:tableColumn id="2" name="配置"/>
    <x:tableColumn id="3" name="文件最后修改时间"/>
    <x:tableColumn id="4" name="采用的来源文件（相对项目根目录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52f0f76bf4e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c8042e759146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ab32e586814d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0" customHeight="1">
      <x:c r="A1" s="3" t="str">
        <x:v>四种方法按配置对比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7" t="str">
        <x:v>每个配置均基于 2013-01 至 2018-12 的72个月：括号内为 IDS - 对应基线；F1最差值取最小值，FNR最差值取最大值，F1标准差采用总体标准差 STDEV.P。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 ht="27" customHeight="1">
      <x:c r="A4" s="96" t="str">
        <x:v>方法</x:v>
      </x:c>
      <x:c r="B4" s="111" t="str">
        <x:v>50</x:v>
      </x:c>
      <x:c r="C4" s="97"/>
      <x:c r="D4" s="97"/>
      <x:c r="E4" s="97"/>
      <x:c r="F4" s="97"/>
      <x:c r="G4" s="111" t="str">
        <x:v>100</x:v>
      </x:c>
      <x:c r="H4" s="97"/>
      <x:c r="I4" s="97"/>
      <x:c r="J4" s="97"/>
      <x:c r="K4" s="97"/>
      <x:c r="L4" s="111" t="str">
        <x:v>200</x:v>
      </x:c>
      <x:c r="M4" s="97"/>
      <x:c r="N4" s="97"/>
      <x:c r="O4" s="97"/>
      <x:c r="P4" s="97"/>
      <x:c r="Q4" s="111" t="str">
        <x:v>300</x:v>
      </x:c>
      <x:c r="R4" s="97"/>
      <x:c r="S4" s="97"/>
      <x:c r="T4" s="97"/>
      <x:c r="U4" s="98"/>
    </x:row>
    <x:row r="5" ht="30" customHeight="1">
      <x:c r="A5" s="99"/>
      <x:c r="B5" s="112" t="str">
        <x:v>平均F1</x:v>
      </x:c>
      <x:c r="C5" s="100" t="str">
        <x:v>平均FNR</x:v>
      </x:c>
      <x:c r="D5" s="100" t="str">
        <x:v>最差F1</x:v>
      </x:c>
      <x:c r="E5" s="100" t="str">
        <x:v>最差FNR</x:v>
      </x:c>
      <x:c r="F5" s="100" t="str">
        <x:v>F1标准差</x:v>
      </x:c>
      <x:c r="G5" s="112" t="str">
        <x:v>平均F1</x:v>
      </x:c>
      <x:c r="H5" s="100" t="str">
        <x:v>平均FNR</x:v>
      </x:c>
      <x:c r="I5" s="100" t="str">
        <x:v>最差F1</x:v>
      </x:c>
      <x:c r="J5" s="100" t="str">
        <x:v>最差FNR</x:v>
      </x:c>
      <x:c r="K5" s="100" t="str">
        <x:v>F1标准差</x:v>
      </x:c>
      <x:c r="L5" s="112" t="str">
        <x:v>平均F1</x:v>
      </x:c>
      <x:c r="M5" s="100" t="str">
        <x:v>平均FNR</x:v>
      </x:c>
      <x:c r="N5" s="100" t="str">
        <x:v>最差F1</x:v>
      </x:c>
      <x:c r="O5" s="100" t="str">
        <x:v>最差FNR</x:v>
      </x:c>
      <x:c r="P5" s="100" t="str">
        <x:v>F1标准差</x:v>
      </x:c>
      <x:c r="Q5" s="112" t="str">
        <x:v>平均F1</x:v>
      </x:c>
      <x:c r="R5" s="100" t="str">
        <x:v>平均FNR</x:v>
      </x:c>
      <x:c r="S5" s="100" t="str">
        <x:v>最差F1</x:v>
      </x:c>
      <x:c r="T5" s="100" t="str">
        <x:v>最差FNR</x:v>
      </x:c>
      <x:c r="U5" s="101" t="str">
        <x:v>F1标准差</x:v>
      </x:c>
    </x:row>
    <x:row r="6" ht="28" customHeight="1">
      <x:c r="A6" s="102" t="str">
        <x:v>cade</x:v>
      </x:c>
      <x:c r="B6" s="113" t="n">
        <x:f>AVERAGE('原始数据'!$D$5:$D$76)</x:f>
        <x:v>0.8727111111111108</x:v>
      </x:c>
      <x:c r="C6" s="103" t="n">
        <x:f>AVERAGE('原始数据'!$E$5:$E$76)</x:f>
        <x:v>0.14207638888888888</x:v>
      </x:c>
      <x:c r="D6" s="103" t="n">
        <x:f>MIN('原始数据'!$D$5:$D$76)</x:f>
        <x:v>0.7513</x:v>
      </x:c>
      <x:c r="E6" s="103" t="n">
        <x:f>MAX('原始数据'!$E$5:$E$76)</x:f>
        <x:v>0.3274</x:v>
      </x:c>
      <x:c r="F6" s="103" t="n">
        <x:f>STDEV.P('原始数据'!$D$5:$D$76)</x:f>
        <x:v>0.04561269181183005</x:v>
      </x:c>
      <x:c r="G6" s="113" t="n">
        <x:f>AVERAGE('原始数据'!$D$77:$D$148)</x:f>
        <x:v>0.88815</x:v>
      </x:c>
      <x:c r="H6" s="103" t="n">
        <x:f>AVERAGE('原始数据'!$E$77:$E$148)</x:f>
        <x:v>0.11642083333333335</x:v>
      </x:c>
      <x:c r="I6" s="103" t="n">
        <x:f>MIN('原始数据'!$D$77:$D$148)</x:f>
        <x:v>0.7064</x:v>
      </x:c>
      <x:c r="J6" s="103" t="n">
        <x:f>MAX('原始数据'!$E$77:$E$148)</x:f>
        <x:v>0.257</x:v>
      </x:c>
      <x:c r="K6" s="103" t="n">
        <x:f>STDEV.P('原始数据'!$D$77:$D$148)</x:f>
        <x:v>0.04189082039460833</x:v>
      </x:c>
      <x:c r="L6" s="113" t="n">
        <x:f>AVERAGE('原始数据'!$D$149:$D$220)</x:f>
        <x:v>0.8988847222222225</x:v>
      </x:c>
      <x:c r="M6" s="103" t="n">
        <x:f>AVERAGE('原始数据'!$E$149:$E$220)</x:f>
        <x:v>0.11142361111111113</x:v>
      </x:c>
      <x:c r="N6" s="103" t="n">
        <x:f>MIN('原始数据'!$D$149:$D$220)</x:f>
        <x:v>0.7013</x:v>
      </x:c>
      <x:c r="O6" s="103" t="n">
        <x:f>MAX('原始数据'!$E$149:$E$220)</x:f>
        <x:v>0.2731</x:v>
      </x:c>
      <x:c r="P6" s="103" t="n">
        <x:f>STDEV.P('原始数据'!$D$149:$D$220)</x:f>
        <x:v>0.04112372139087063</x:v>
      </x:c>
      <x:c r="Q6" s="113" t="n">
        <x:f>AVERAGE('原始数据'!$D$221:$D$292)</x:f>
        <x:v>0.8891694444444442</x:v>
      </x:c>
      <x:c r="R6" s="103" t="n">
        <x:f>AVERAGE('原始数据'!$E$221:$E$292)</x:f>
        <x:v>0.12272361111111109</x:v>
      </x:c>
      <x:c r="S6" s="103" t="n">
        <x:f>MIN('原始数据'!$D$221:$D$292)</x:f>
        <x:v>0.7042</x:v>
      </x:c>
      <x:c r="T6" s="103" t="n">
        <x:f>MAX('原始数据'!$E$221:$E$292)</x:f>
        <x:v>0.2939</x:v>
      </x:c>
      <x:c r="U6" s="104" t="n">
        <x:f>STDEV.P('原始数据'!$D$221:$D$292)</x:f>
        <x:v>0.04581206063572515</x:v>
      </x:c>
    </x:row>
    <x:row r="7" ht="28" customHeight="1">
      <x:c r="A7" s="105" t="str">
        <x:v>cade_ids</x:v>
      </x:c>
      <x:c r="B7" s="114" t="str">
        <x:f>TEXT(AVERAGE('原始数据'!$D$293:$D$364),"0.0000")&amp;" ("&amp;IF(AVERAGE('原始数据'!$D$293:$D$364)-B6&gt;=0,"+","")&amp;TEXT(AVERAGE('原始数据'!$D$293:$D$364)-B6,"0.0000")&amp;")"</x:f>
        <x:v>0.8520 (-0.0207)</x:v>
      </x:c>
      <x:c r="C7" s="106" t="str">
        <x:f>TEXT(AVERAGE('原始数据'!$E$293:$E$364),"0.0000")&amp;" ("&amp;IF(AVERAGE('原始数据'!$E$293:$E$364)-C6&gt;=0,"+","")&amp;TEXT(AVERAGE('原始数据'!$E$293:$E$364)-C6,"0.0000")&amp;")"</x:f>
        <x:v>0.1969 (+0.0548)</x:v>
      </x:c>
      <x:c r="D7" s="106" t="str">
        <x:f>TEXT(MIN('原始数据'!$D$293:$D$364),"0.0000")&amp;" ("&amp;IF(MIN('原始数据'!$D$293:$D$364)-D6&gt;=0,"+","")&amp;TEXT(MIN('原始数据'!$D$293:$D$364)-D6,"0.0000")&amp;")"</x:f>
        <x:v>0.6833 (-0.0680)</x:v>
      </x:c>
      <x:c r="E7" s="106" t="str">
        <x:f>TEXT(MAX('原始数据'!$E$293:$E$364),"0.0000")&amp;" ("&amp;IF(MAX('原始数据'!$E$293:$E$364)-E6&gt;=0,"+","")&amp;TEXT(MAX('原始数据'!$E$293:$E$364)-E6,"0.0000")&amp;")"</x:f>
        <x:v>0.4397 (+0.1123)</x:v>
      </x:c>
      <x:c r="F7" s="106" t="str">
        <x:f>TEXT(STDEV.P('原始数据'!$D$293:$D$364),"0.0000")&amp;" ("&amp;IF(STDEV.P('原始数据'!$D$293:$D$364)-F6&gt;=0,"+","")&amp;TEXT(STDEV.P('原始数据'!$D$293:$D$364)-F6,"0.0000")&amp;")"</x:f>
        <x:v>0.0581 (+0.0125)</x:v>
      </x:c>
      <x:c r="G7" s="114" t="str">
        <x:f>TEXT(AVERAGE('原始数据'!$D$365:$D$436),"0.0000")&amp;" ("&amp;IF(AVERAGE('原始数据'!$D$365:$D$436)-G6&gt;=0,"+","")&amp;TEXT(AVERAGE('原始数据'!$D$365:$D$436)-G6,"0.0000")&amp;")"</x:f>
        <x:v>0.8703 (-0.0178)</x:v>
      </x:c>
      <x:c r="H7" s="106" t="str">
        <x:f>TEXT(AVERAGE('原始数据'!$E$365:$E$436),"0.0000")&amp;" ("&amp;IF(AVERAGE('原始数据'!$E$365:$E$436)-H6&gt;=0,"+","")&amp;TEXT(AVERAGE('原始数据'!$E$365:$E$436)-H6,"0.0000")&amp;")"</x:f>
        <x:v>0.1663 (+0.0499)</x:v>
      </x:c>
      <x:c r="I7" s="106" t="str">
        <x:f>TEXT(MIN('原始数据'!$D$365:$D$436),"0.0000")&amp;" ("&amp;IF(MIN('原始数据'!$D$365:$D$436)-I6&gt;=0,"+","")&amp;TEXT(MIN('原始数据'!$D$365:$D$436)-I6,"0.0000")&amp;")"</x:f>
        <x:v>0.7191 (+0.0127)</x:v>
      </x:c>
      <x:c r="J7" s="106" t="str">
        <x:f>TEXT(MAX('原始数据'!$E$365:$E$436),"0.0000")&amp;" ("&amp;IF(MAX('原始数据'!$E$365:$E$436)-J6&gt;=0,"+","")&amp;TEXT(MAX('原始数据'!$E$365:$E$436)-J6,"0.0000")&amp;")"</x:f>
        <x:v>0.3628 (+0.1058)</x:v>
      </x:c>
      <x:c r="K7" s="106" t="str">
        <x:f>TEXT(STDEV.P('原始数据'!$D$365:$D$436),"0.0000")&amp;" ("&amp;IF(STDEV.P('原始数据'!$D$365:$D$436)-K6&gt;=0,"+","")&amp;TEXT(STDEV.P('原始数据'!$D$365:$D$436)-K6,"0.0000")&amp;")"</x:f>
        <x:v>0.0492 (+0.0073)</x:v>
      </x:c>
      <x:c r="L7" s="114" t="str">
        <x:f>TEXT(AVERAGE('原始数据'!$D$437:$D$508),"0.0000")&amp;" ("&amp;IF(AVERAGE('原始数据'!$D$437:$D$508)-L6&gt;=0,"+","")&amp;TEXT(AVERAGE('原始数据'!$D$437:$D$508)-L6,"0.0000")&amp;")"</x:f>
        <x:v>0.8925 (-0.0064)</x:v>
      </x:c>
      <x:c r="M7" s="106" t="str">
        <x:f>TEXT(AVERAGE('原始数据'!$E$437:$E$508),"0.0000")&amp;" ("&amp;IF(AVERAGE('原始数据'!$E$437:$E$508)-M6&gt;=0,"+","")&amp;TEXT(AVERAGE('原始数据'!$E$437:$E$508)-M6,"0.0000")&amp;")"</x:f>
        <x:v>0.1365 (+0.0251)</x:v>
      </x:c>
      <x:c r="N7" s="106" t="str">
        <x:f>TEXT(MIN('原始数据'!$D$437:$D$508),"0.0000")&amp;" ("&amp;IF(MIN('原始数据'!$D$437:$D$508)-N6&gt;=0,"+","")&amp;TEXT(MIN('原始数据'!$D$437:$D$508)-N6,"0.0000")&amp;")"</x:f>
        <x:v>0.7072 (+0.0059)</x:v>
      </x:c>
      <x:c r="O7" s="106" t="str">
        <x:f>TEXT(MAX('原始数据'!$E$437:$E$508),"0.0000")&amp;" ("&amp;IF(MAX('原始数据'!$E$437:$E$508)-O6&gt;=0,"+","")&amp;TEXT(MAX('原始数据'!$E$437:$E$508)-O6,"0.0000")&amp;")"</x:f>
        <x:v>0.3092 (+0.0361)</x:v>
      </x:c>
      <x:c r="P7" s="106" t="str">
        <x:f>TEXT(STDEV.P('原始数据'!$D$437:$D$508),"0.0000")&amp;" ("&amp;IF(STDEV.P('原始数据'!$D$437:$D$508)-P6&gt;=0,"+","")&amp;TEXT(STDEV.P('原始数据'!$D$437:$D$508)-P6,"0.0000")&amp;")"</x:f>
        <x:v>0.0446 (+0.0034)</x:v>
      </x:c>
      <x:c r="Q7" s="114" t="str">
        <x:f>TEXT(AVERAGE('原始数据'!$D$509:$D$580),"0.0000")&amp;" ("&amp;IF(AVERAGE('原始数据'!$D$509:$D$580)-Q6&gt;=0,"+","")&amp;TEXT(AVERAGE('原始数据'!$D$509:$D$580)-Q6,"0.0000")&amp;")"</x:f>
        <x:v>0.8995 (+0.0103)</x:v>
      </x:c>
      <x:c r="R7" s="106" t="str">
        <x:f>TEXT(AVERAGE('原始数据'!$E$509:$E$580),"0.0000")&amp;" ("&amp;IF(AVERAGE('原始数据'!$E$509:$E$580)-R6&gt;=0,"+","")&amp;TEXT(AVERAGE('原始数据'!$E$509:$E$580)-R6,"0.0000")&amp;")"</x:f>
        <x:v>0.1242 (+0.0015)</x:v>
      </x:c>
      <x:c r="S7" s="106" t="str">
        <x:f>TEXT(MIN('原始数据'!$D$509:$D$580),"0.0000")&amp;" ("&amp;IF(MIN('原始数据'!$D$509:$D$580)-S6&gt;=0,"+","")&amp;TEXT(MIN('原始数据'!$D$509:$D$580)-S6,"0.0000")&amp;")"</x:f>
        <x:v>0.8044 (+0.1002)</x:v>
      </x:c>
      <x:c r="T7" s="106" t="str">
        <x:f>TEXT(MAX('原始数据'!$E$509:$E$580),"0.0000")&amp;" ("&amp;IF(MAX('原始数据'!$E$509:$E$580)-T6&gt;=0,"+","")&amp;TEXT(MAX('原始数据'!$E$509:$E$580)-T6,"0.0000")&amp;")"</x:f>
        <x:v>0.2791 (-0.0148)</x:v>
      </x:c>
      <x:c r="U7" s="107" t="str">
        <x:f>TEXT(STDEV.P('原始数据'!$D$509:$D$580),"0.0000")&amp;" ("&amp;IF(STDEV.P('原始数据'!$D$509:$D$580)-U6&gt;=0,"+","")&amp;TEXT(STDEV.P('原始数据'!$D$509:$D$580)-U6,"0.0000")&amp;")"</x:f>
        <x:v>0.0352 (-0.0106)</x:v>
      </x:c>
    </x:row>
    <x:row r="8" ht="28" customHeight="1">
      <x:c r="A8" s="102" t="str">
        <x:v>hcl</x:v>
      </x:c>
      <x:c r="B8" s="113" t="n">
        <x:f>AVERAGE('原始数据'!$D$581:$D$652)</x:f>
        <x:v>0.8719</x:v>
      </x:c>
      <x:c r="C8" s="103" t="n">
        <x:f>AVERAGE('原始数据'!$E$581:$E$652)</x:f>
        <x:v>0.18131388888888889</x:v>
      </x:c>
      <x:c r="D8" s="103" t="n">
        <x:f>MIN('原始数据'!$D$581:$D$652)</x:f>
        <x:v>0.7122</x:v>
      </x:c>
      <x:c r="E8" s="103" t="n">
        <x:f>MAX('原始数据'!$E$581:$E$652)</x:f>
        <x:v>0.4063</x:v>
      </x:c>
      <x:c r="F8" s="103" t="n">
        <x:f>STDEV.P('原始数据'!$D$581:$D$652)</x:f>
        <x:v>0.0545401381247487</x:v>
      </x:c>
      <x:c r="G8" s="113" t="n">
        <x:f>AVERAGE('原始数据'!$D$653:$D$724)</x:f>
        <x:v>0.8959652777777775</x:v>
      </x:c>
      <x:c r="H8" s="103" t="n">
        <x:f>AVERAGE('原始数据'!$E$653:$E$724)</x:f>
        <x:v>0.15135277777777778</x:v>
      </x:c>
      <x:c r="I8" s="103" t="n">
        <x:f>MIN('原始数据'!$D$653:$D$724)</x:f>
        <x:v>0.7655</x:v>
      </x:c>
      <x:c r="J8" s="103" t="n">
        <x:f>MAX('原始数据'!$E$653:$E$724)</x:f>
        <x:v>0.3642</x:v>
      </x:c>
      <x:c r="K8" s="103" t="n">
        <x:f>STDEV.P('原始数据'!$D$653:$D$724)</x:f>
        <x:v>0.0418005886445867</x:v>
      </x:c>
      <x:c r="L8" s="113" t="n">
        <x:f>AVERAGE('原始数据'!$D$725:$D$796)</x:f>
        <x:v>0.9088180555555555</x:v>
      </x:c>
      <x:c r="M8" s="103" t="n">
        <x:f>AVERAGE('原始数据'!$E$725:$E$796)</x:f>
        <x:v>0.12636111111111112</x:v>
      </x:c>
      <x:c r="N8" s="103" t="n">
        <x:f>MIN('原始数据'!$D$725:$D$796)</x:f>
        <x:v>0.811</x:v>
      </x:c>
      <x:c r="O8" s="103" t="n">
        <x:f>MAX('原始数据'!$E$725:$E$796)</x:f>
        <x:v>0.2932</x:v>
      </x:c>
      <x:c r="P8" s="103" t="n">
        <x:f>STDEV.P('原始数据'!$D$725:$D$796)</x:f>
        <x:v>0.033886195675086425</x:v>
      </x:c>
      <x:c r="Q8" s="113" t="n">
        <x:f>AVERAGE('原始数据'!$D$797:$D$868)</x:f>
        <x:v>0.9299069444444444</x:v>
      </x:c>
      <x:c r="R8" s="103" t="n">
        <x:f>AVERAGE('原始数据'!$E$797:$E$868)</x:f>
        <x:v>0.08690277777777772</x:v>
      </x:c>
      <x:c r="S8" s="103" t="n">
        <x:f>MIN('原始数据'!$D$797:$D$868)</x:f>
        <x:v>0.8375</x:v>
      </x:c>
      <x:c r="T8" s="103" t="n">
        <x:f>MAX('原始数据'!$E$797:$E$868)</x:f>
        <x:v>0.2568</x:v>
      </x:c>
      <x:c r="U8" s="104" t="n">
        <x:f>STDEV.P('原始数据'!$D$797:$D$868)</x:f>
        <x:v>0.027271822690935105</x:v>
      </x:c>
    </x:row>
    <x:row r="9" ht="28" customHeight="1">
      <x:c r="A9" s="108" t="str">
        <x:v>hcl_ids</x:v>
      </x:c>
      <x:c r="B9" s="114" t="str">
        <x:f>TEXT(AVERAGE('原始数据'!$D$869:$D$940),"0.0000")&amp;" ("&amp;IF(AVERAGE('原始数据'!$D$869:$D$940)-B8&gt;=0,"+","")&amp;TEXT(AVERAGE('原始数据'!$D$869:$D$940)-B8,"0.0000")&amp;")"</x:f>
        <x:v>0.8755 (+0.0036)</x:v>
      </x:c>
      <x:c r="C9" s="109" t="str">
        <x:f>TEXT(AVERAGE('原始数据'!$E$869:$E$940),"0.0000")&amp;" ("&amp;IF(AVERAGE('原始数据'!$E$869:$E$940)-C8&gt;=0,"+","")&amp;TEXT(AVERAGE('原始数据'!$E$869:$E$940)-C8,"0.0000")&amp;")"</x:f>
        <x:v>0.1764 (-0.0049)</x:v>
      </x:c>
      <x:c r="D9" s="109" t="str">
        <x:f>TEXT(MIN('原始数据'!$D$869:$D$940),"0.0000")&amp;" ("&amp;IF(MIN('原始数据'!$D$869:$D$940)-D8&gt;=0,"+","")&amp;TEXT(MIN('原始数据'!$D$869:$D$940)-D8,"0.0000")&amp;")"</x:f>
        <x:v>0.7229 (+0.0107)</x:v>
      </x:c>
      <x:c r="E9" s="109" t="str">
        <x:f>TEXT(MAX('原始数据'!$E$869:$E$940),"0.0000")&amp;" ("&amp;IF(MAX('原始数据'!$E$869:$E$940)-E8&gt;=0,"+","")&amp;TEXT(MAX('原始数据'!$E$869:$E$940)-E8,"0.0000")&amp;")"</x:f>
        <x:v>0.3937 (-0.0126)</x:v>
      </x:c>
      <x:c r="F9" s="109" t="str">
        <x:f>TEXT(STDEV.P('原始数据'!$D$869:$D$940),"0.0000")&amp;" ("&amp;IF(STDEV.P('原始数据'!$D$869:$D$940)-F8&gt;=0,"+","")&amp;TEXT(STDEV.P('原始数据'!$D$869:$D$940)-F8,"0.0000")&amp;")"</x:f>
        <x:v>0.0532 (-0.0013)</x:v>
      </x:c>
      <x:c r="G9" s="114" t="str">
        <x:f>TEXT(AVERAGE('原始数据'!$D$941:$D$1012),"0.0000")&amp;" ("&amp;IF(AVERAGE('原始数据'!$D$941:$D$1012)-G8&gt;=0,"+","")&amp;TEXT(AVERAGE('原始数据'!$D$941:$D$1012)-G8,"0.0000")&amp;")"</x:f>
        <x:v>0.9011 (+0.0051)</x:v>
      </x:c>
      <x:c r="H9" s="109" t="str">
        <x:f>TEXT(AVERAGE('原始数据'!$E$941:$E$1012),"0.0000")&amp;" ("&amp;IF(AVERAGE('原始数据'!$E$941:$E$1012)-H8&gt;=0,"+","")&amp;TEXT(AVERAGE('原始数据'!$E$941:$E$1012)-H8,"0.0000")&amp;")"</x:f>
        <x:v>0.1476 (-0.0037)</x:v>
      </x:c>
      <x:c r="I9" s="109" t="str">
        <x:f>TEXT(MIN('原始数据'!$D$941:$D$1012),"0.0000")&amp;" ("&amp;IF(MIN('原始数据'!$D$941:$D$1012)-I8&gt;=0,"+","")&amp;TEXT(MIN('原始数据'!$D$941:$D$1012)-I8,"0.0000")&amp;")"</x:f>
        <x:v>0.7716 (+0.0061)</x:v>
      </x:c>
      <x:c r="J9" s="109" t="str">
        <x:f>TEXT(MAX('原始数据'!$E$941:$E$1012),"0.0000")&amp;" ("&amp;IF(MAX('原始数据'!$E$941:$E$1012)-J8&gt;=0,"+","")&amp;TEXT(MAX('原始数据'!$E$941:$E$1012)-J8,"0.0000")&amp;")"</x:f>
        <x:v>0.3454 (-0.0188)</x:v>
      </x:c>
      <x:c r="K9" s="109" t="str">
        <x:f>TEXT(STDEV.P('原始数据'!$D$941:$D$1012),"0.0000")&amp;" ("&amp;IF(STDEV.P('原始数据'!$D$941:$D$1012)-K8&gt;=0,"+","")&amp;TEXT(STDEV.P('原始数据'!$D$941:$D$1012)-K8,"0.0000")&amp;")"</x:f>
        <x:v>0.0407 (-0.0011)</x:v>
      </x:c>
      <x:c r="L9" s="114" t="str">
        <x:f>TEXT(AVERAGE('原始数据'!$D$1013:$D$1084),"0.0000")&amp;" ("&amp;IF(AVERAGE('原始数据'!$D$1013:$D$1084)-L8&gt;=0,"+","")&amp;TEXT(AVERAGE('原始数据'!$D$1013:$D$1084)-L8,"0.0000")&amp;")"</x:f>
        <x:v>0.9119 (+0.0031)</x:v>
      </x:c>
      <x:c r="M9" s="109" t="str">
        <x:f>TEXT(AVERAGE('原始数据'!$E$1013:$E$1084),"0.0000")&amp;" ("&amp;IF(AVERAGE('原始数据'!$E$1013:$E$1084)-M8&gt;=0,"+","")&amp;TEXT(AVERAGE('原始数据'!$E$1013:$E$1084)-M8,"0.0000")&amp;")"</x:f>
        <x:v>0.1231 (-0.0032)</x:v>
      </x:c>
      <x:c r="N9" s="109" t="str">
        <x:f>TEXT(MIN('原始数据'!$D$1013:$D$1084),"0.0000")&amp;" ("&amp;IF(MIN('原始数据'!$D$1013:$D$1084)-N8&gt;=0,"+","")&amp;TEXT(MIN('原始数据'!$D$1013:$D$1084)-N8,"0.0000")&amp;")"</x:f>
        <x:v>0.8069 (-0.0041)</x:v>
      </x:c>
      <x:c r="O9" s="109" t="str">
        <x:f>TEXT(MAX('原始数据'!$E$1013:$E$1084),"0.0000")&amp;" ("&amp;IF(MAX('原始数据'!$E$1013:$E$1084)-O8&gt;=0,"+","")&amp;TEXT(MAX('原始数据'!$E$1013:$E$1084)-O8,"0.0000")&amp;")"</x:f>
        <x:v>0.2966 (+0.0034)</x:v>
      </x:c>
      <x:c r="P9" s="109" t="str">
        <x:f>TEXT(STDEV.P('原始数据'!$D$1013:$D$1084),"0.0000")&amp;" ("&amp;IF(STDEV.P('原始数据'!$D$1013:$D$1084)-P8&gt;=0,"+","")&amp;TEXT(STDEV.P('原始数据'!$D$1013:$D$1084)-P8,"0.0000")&amp;")"</x:f>
        <x:v>0.0347 (+0.0008)</x:v>
      </x:c>
      <x:c r="Q9" s="114" t="str">
        <x:f>TEXT(AVERAGE('原始数据'!$D$1085:$D$1156),"0.0000")&amp;" ("&amp;IF(AVERAGE('原始数据'!$D$1085:$D$1156)-Q8&gt;=0,"+","")&amp;TEXT(AVERAGE('原始数据'!$D$1085:$D$1156)-Q8,"0.0000")&amp;")"</x:f>
        <x:v>0.9192 (-0.0107)</x:v>
      </x:c>
      <x:c r="R9" s="109" t="str">
        <x:f>TEXT(AVERAGE('原始数据'!$E$1085:$E$1156),"0.0000")&amp;" ("&amp;IF(AVERAGE('原始数据'!$E$1085:$E$1156)-R8&gt;=0,"+","")&amp;TEXT(AVERAGE('原始数据'!$E$1085:$E$1156)-R8,"0.0000")&amp;")"</x:f>
        <x:v>0.1108 (+0.0238)</x:v>
      </x:c>
      <x:c r="S9" s="109" t="str">
        <x:f>TEXT(MIN('原始数据'!$D$1085:$D$1156),"0.0000")&amp;" ("&amp;IF(MIN('原始数据'!$D$1085:$D$1156)-S8&gt;=0,"+","")&amp;TEXT(MIN('原始数据'!$D$1085:$D$1156)-S8,"0.0000")&amp;")"</x:f>
        <x:v>0.8273 (-0.0102)</x:v>
      </x:c>
      <x:c r="T9" s="109" t="str">
        <x:f>TEXT(MAX('原始数据'!$E$1085:$E$1156),"0.0000")&amp;" ("&amp;IF(MAX('原始数据'!$E$1085:$E$1156)-T8&gt;=0,"+","")&amp;TEXT(MAX('原始数据'!$E$1085:$E$1156)-T8,"0.0000")&amp;")"</x:f>
        <x:v>0.2705 (+0.0137)</x:v>
      </x:c>
      <x:c r="U9" s="110" t="str">
        <x:f>TEXT(STDEV.P('原始数据'!$D$1085:$D$1156),"0.0000")&amp;" ("&amp;IF(STDEV.P('原始数据'!$D$1085:$D$1156)-U8&gt;=0,"+","")&amp;TEXT(STDEV.P('原始数据'!$D$1085:$D$1156)-U8,"0.0000")&amp;")"</x:f>
        <x:v>0.0335 (+0.0062)</x:v>
      </x:c>
    </x:row>
  </x:sheetData>
  <x:mergeCells>
    <x:mergeCell ref="A1:U1"/>
    <x:mergeCell ref="A2:U2"/>
    <x:mergeCell ref="A4:A5"/>
    <x:mergeCell ref="B4:F4"/>
    <x:mergeCell ref="G4:K4"/>
    <x:mergeCell ref="L4:P4"/>
    <x:mergeCell ref="Q4:U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四种方法月度 F1 / FNR 统计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每月基于配置 50、100、200、300 的四条观测：F1 最差值取最小值，FNR 最差值取最大值，标准差采用总体标准差 STDEV.P。 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9" t="str">
        <x:v>方法</x:v>
      </x:c>
      <x:c r="B4" s="20" t="str">
        <x:v>月份</x:v>
      </x:c>
      <x:c r="C4" s="20" t="str">
        <x:v>配置数</x:v>
      </x:c>
      <x:c r="D4" s="20" t="str">
        <x:v>F1均值</x:v>
      </x:c>
      <x:c r="E4" s="20" t="str">
        <x:v>FNR均值</x:v>
      </x:c>
      <x:c r="F4" s="20" t="str">
        <x:v>最差F1（最低）</x:v>
      </x:c>
      <x:c r="G4" s="20" t="str">
        <x:v>最差FNR（最高）</x:v>
      </x:c>
      <x:c r="H4" s="20" t="str">
        <x:v>F1标准差（总体）</x:v>
      </x:c>
      <x:c r="I4" s="20" t="str">
        <x:v>FNR标准差（总体）</x:v>
      </x:c>
    </x:row>
    <x:row r="5" ht="20" customHeight="1">
      <x:c r="A5" s="26" t="str">
        <x:v>CADE</x:v>
      </x:c>
      <x:c r="B5" s="29" t="str">
        <x:v>2013-01</x:v>
      </x:c>
      <x:c r="C5" s="50" t="n">
        <x:f>COUNT('原始数据'!$D$5,'原始数据'!$D$77,'原始数据'!$D$149,'原始数据'!$D$221)</x:f>
        <x:v>4</x:v>
      </x:c>
      <x:c r="D5" s="53" t="n">
        <x:f>AVERAGE('原始数据'!$D$5,'原始数据'!$D$77,'原始数据'!$D$149,'原始数据'!$D$221)</x:f>
        <x:v>0.9439000000000001</x:v>
      </x:c>
      <x:c r="E5" s="53" t="n">
        <x:f>AVERAGE('原始数据'!$E$5,'原始数据'!$E$77,'原始数据'!$E$149,'原始数据'!$E$221)</x:f>
        <x:v>0.033</x:v>
      </x:c>
      <x:c r="F5" s="56" t="n">
        <x:f>MIN('原始数据'!$D$5,'原始数据'!$D$77,'原始数据'!$D$149,'原始数据'!$D$221)</x:f>
        <x:v>0.9391</x:v>
      </x:c>
      <x:c r="G5" s="56" t="n">
        <x:f>MAX('原始数据'!$E$5,'原始数据'!$E$77,'原始数据'!$E$149,'原始数据'!$E$221)</x:f>
        <x:v>0.038</x:v>
      </x:c>
      <x:c r="H5" s="59" t="n">
        <x:f>STDEV.P('原始数据'!$D$5,'原始数据'!$D$77,'原始数据'!$D$149,'原始数据'!$D$221)</x:f>
        <x:v>0.004799999999999971</x:v>
      </x:c>
      <x:c r="I5" s="62" t="n">
        <x:f>STDEV.P('原始数据'!$E$5,'原始数据'!$E$77,'原始数据'!$E$149,'原始数据'!$E$221)</x:f>
        <x:v>0.004999999999999999</x:v>
      </x:c>
    </x:row>
    <x:row r="6" ht="20" customHeight="1">
      <x:c r="A6" s="27" t="str">
        <x:v>CADE</x:v>
      </x:c>
      <x:c r="B6" s="30" t="str">
        <x:v>2013-02</x:v>
      </x:c>
      <x:c r="C6" s="51" t="n">
        <x:f>COUNT('原始数据'!$D$6,'原始数据'!$D$78,'原始数据'!$D$150,'原始数据'!$D$222)</x:f>
        <x:v>4</x:v>
      </x:c>
      <x:c r="D6" s="54" t="n">
        <x:f>AVERAGE('原始数据'!$D$6,'原始数据'!$D$78,'原始数据'!$D$150,'原始数据'!$D$222)</x:f>
        <x:v>0.8891749999999999</x:v>
      </x:c>
      <x:c r="E6" s="54" t="n">
        <x:f>AVERAGE('原始数据'!$E$6,'原始数据'!$E$78,'原始数据'!$E$150,'原始数据'!$E$222)</x:f>
        <x:v>0.160175</x:v>
      </x:c>
      <x:c r="F6" s="57" t="n">
        <x:f>MIN('原始数据'!$D$6,'原始数据'!$D$78,'原始数据'!$D$150,'原始数据'!$D$222)</x:f>
        <x:v>0.8874</x:v>
      </x:c>
      <x:c r="G6" s="57" t="n">
        <x:f>MAX('原始数据'!$E$6,'原始数据'!$E$78,'原始数据'!$E$150,'原始数据'!$E$222)</x:f>
        <x:v>0.1719</x:v>
      </x:c>
      <x:c r="H6" s="60" t="n">
        <x:f>STDEV.P('原始数据'!$D$6,'原始数据'!$D$78,'原始数据'!$D$150,'原始数据'!$D$222)</x:f>
        <x:v>0.001884641875794973</x:v>
      </x:c>
      <x:c r="I6" s="63" t="n">
        <x:f>STDEV.P('原始数据'!$E$6,'原始数据'!$E$78,'原始数据'!$E$150,'原始数据'!$E$222)</x:f>
        <x:v>0.011776114596928818</x:v>
      </x:c>
    </x:row>
    <x:row r="7" ht="20" customHeight="1">
      <x:c r="A7" s="27" t="str">
        <x:v>CADE</x:v>
      </x:c>
      <x:c r="B7" s="30" t="str">
        <x:v>2013-03</x:v>
      </x:c>
      <x:c r="C7" s="51" t="n">
        <x:f>COUNT('原始数据'!$D$7,'原始数据'!$D$79,'原始数据'!$D$151,'原始数据'!$D$223)</x:f>
        <x:v>4</x:v>
      </x:c>
      <x:c r="D7" s="54" t="n">
        <x:f>AVERAGE('原始数据'!$D$7,'原始数据'!$D$79,'原始数据'!$D$151,'原始数据'!$D$223)</x:f>
        <x:v>0.893375</x:v>
      </x:c>
      <x:c r="E7" s="54" t="n">
        <x:f>AVERAGE('原始数据'!$E$7,'原始数据'!$E$79,'原始数据'!$E$151,'原始数据'!$E$223)</x:f>
        <x:v>0.1224</x:v>
      </x:c>
      <x:c r="F7" s="57" t="n">
        <x:f>MIN('原始数据'!$D$7,'原始数据'!$D$79,'原始数据'!$D$151,'原始数据'!$D$223)</x:f>
        <x:v>0.881</x:v>
      </x:c>
      <x:c r="G7" s="57" t="n">
        <x:f>MAX('原始数据'!$E$7,'原始数据'!$E$79,'原始数据'!$E$151,'原始数据'!$E$223)</x:f>
        <x:v>0.1543</x:v>
      </x:c>
      <x:c r="H7" s="60" t="n">
        <x:f>STDEV.P('原始数据'!$D$7,'原始数据'!$D$79,'原始数据'!$D$151,'原始数据'!$D$223)</x:f>
        <x:v>0.007409917340969454</x:v>
      </x:c>
      <x:c r="I7" s="63" t="n">
        <x:f>STDEV.P('原始数据'!$E$7,'原始数据'!$E$79,'原始数据'!$E$151,'原始数据'!$E$223)</x:f>
        <x:v>0.022821700199590737</x:v>
      </x:c>
    </x:row>
    <x:row r="8" ht="20" customHeight="1">
      <x:c r="A8" s="27" t="str">
        <x:v>CADE</x:v>
      </x:c>
      <x:c r="B8" s="30" t="str">
        <x:v>2013-04</x:v>
      </x:c>
      <x:c r="C8" s="51" t="n">
        <x:f>COUNT('原始数据'!$D$8,'原始数据'!$D$80,'原始数据'!$D$152,'原始数据'!$D$224)</x:f>
        <x:v>4</x:v>
      </x:c>
      <x:c r="D8" s="54" t="n">
        <x:f>AVERAGE('原始数据'!$D$8,'原始数据'!$D$80,'原始数据'!$D$152,'原始数据'!$D$224)</x:f>
        <x:v>0.9175</x:v>
      </x:c>
      <x:c r="E8" s="54" t="n">
        <x:f>AVERAGE('原始数据'!$E$8,'原始数据'!$E$80,'原始数据'!$E$152,'原始数据'!$E$224)</x:f>
        <x:v>0.09382499999999999</x:v>
      </x:c>
      <x:c r="F8" s="57" t="n">
        <x:f>MIN('原始数据'!$D$8,'原始数据'!$D$80,'原始数据'!$D$152,'原始数据'!$D$224)</x:f>
        <x:v>0.9079</x:v>
      </x:c>
      <x:c r="G8" s="57" t="n">
        <x:f>MAX('原始数据'!$E$8,'原始数据'!$E$80,'原始数据'!$E$152,'原始数据'!$E$224)</x:f>
        <x:v>0.1105</x:v>
      </x:c>
      <x:c r="H8" s="60" t="n">
        <x:f>STDEV.P('原始数据'!$D$8,'原始数据'!$D$80,'原始数据'!$D$152,'原始数据'!$D$224)</x:f>
        <x:v>0.009355479677707591</x:v>
      </x:c>
      <x:c r="I8" s="63" t="n">
        <x:f>STDEV.P('原始数据'!$E$8,'原始数据'!$E$80,'原始数据'!$E$152,'原始数据'!$E$224)</x:f>
        <x:v>0.009685653049743212</x:v>
      </x:c>
    </x:row>
    <x:row r="9" ht="20" customHeight="1">
      <x:c r="A9" s="27" t="str">
        <x:v>CADE</x:v>
      </x:c>
      <x:c r="B9" s="30" t="str">
        <x:v>2013-05</x:v>
      </x:c>
      <x:c r="C9" s="51" t="n">
        <x:f>COUNT('原始数据'!$D$9,'原始数据'!$D$81,'原始数据'!$D$153,'原始数据'!$D$225)</x:f>
        <x:v>4</x:v>
      </x:c>
      <x:c r="D9" s="54" t="n">
        <x:f>AVERAGE('原始数据'!$D$9,'原始数据'!$D$81,'原始数据'!$D$153,'原始数据'!$D$225)</x:f>
        <x:v>0.9095</x:v>
      </x:c>
      <x:c r="E9" s="54" t="n">
        <x:f>AVERAGE('原始数据'!$E$9,'原始数据'!$E$81,'原始数据'!$E$153,'原始数据'!$E$225)</x:f>
        <x:v>0.107875</x:v>
      </x:c>
      <x:c r="F9" s="57" t="n">
        <x:f>MIN('原始数据'!$D$9,'原始数据'!$D$81,'原始数据'!$D$153,'原始数据'!$D$225)</x:f>
        <x:v>0.8865</x:v>
      </x:c>
      <x:c r="G9" s="57" t="n">
        <x:f>MAX('原始数据'!$E$9,'原始数据'!$E$81,'原始数据'!$E$153,'原始数据'!$E$225)</x:f>
        <x:v>0.1411</x:v>
      </x:c>
      <x:c r="H9" s="60" t="n">
        <x:f>STDEV.P('原始数据'!$D$9,'原始数据'!$D$81,'原始数据'!$D$153,'原始数据'!$D$225)</x:f>
        <x:v>0.014835936101237443</x:v>
      </x:c>
      <x:c r="I9" s="63" t="n">
        <x:f>STDEV.P('原始数据'!$E$9,'原始数据'!$E$81,'原始数据'!$E$153,'原始数据'!$E$225)</x:f>
        <x:v>0.02013335230407495</x:v>
      </x:c>
    </x:row>
    <x:row r="10" ht="20" customHeight="1">
      <x:c r="A10" s="27" t="str">
        <x:v>CADE</x:v>
      </x:c>
      <x:c r="B10" s="30" t="str">
        <x:v>2013-06</x:v>
      </x:c>
      <x:c r="C10" s="51" t="n">
        <x:f>COUNT('原始数据'!$D$10,'原始数据'!$D$82,'原始数据'!$D$154,'原始数据'!$D$226)</x:f>
        <x:v>4</x:v>
      </x:c>
      <x:c r="D10" s="54" t="n">
        <x:f>AVERAGE('原始数据'!$D$10,'原始数据'!$D$82,'原始数据'!$D$154,'原始数据'!$D$226)</x:f>
        <x:v>0.8916</x:v>
      </x:c>
      <x:c r="E10" s="54" t="n">
        <x:f>AVERAGE('原始数据'!$E$10,'原始数据'!$E$82,'原始数据'!$E$154,'原始数据'!$E$226)</x:f>
        <x:v>0.11465000000000002</x:v>
      </x:c>
      <x:c r="F10" s="57" t="n">
        <x:f>MIN('原始数据'!$D$10,'原始数据'!$D$82,'原始数据'!$D$154,'原始数据'!$D$226)</x:f>
        <x:v>0.8834</x:v>
      </x:c>
      <x:c r="G10" s="57" t="n">
        <x:f>MAX('原始数据'!$E$10,'原始数据'!$E$82,'原始数据'!$E$154,'原始数据'!$E$226)</x:f>
        <x:v>0.1479</x:v>
      </x:c>
      <x:c r="H10" s="60" t="n">
        <x:f>STDEV.P('原始数据'!$D$10,'原始数据'!$D$82,'原始数据'!$D$154,'原始数据'!$D$226)</x:f>
        <x:v>0.007488324245116523</x:v>
      </x:c>
      <x:c r="I10" s="63" t="n">
        <x:f>STDEV.P('原始数据'!$E$10,'原始数据'!$E$82,'原始数据'!$E$154,'原始数据'!$E$226)</x:f>
        <x:v>0.022446658994157685</x:v>
      </x:c>
    </x:row>
    <x:row r="11" ht="20" customHeight="1">
      <x:c r="A11" s="27" t="str">
        <x:v>CADE</x:v>
      </x:c>
      <x:c r="B11" s="30" t="str">
        <x:v>2013-07</x:v>
      </x:c>
      <x:c r="C11" s="51" t="n">
        <x:f>COUNT('原始数据'!$D$11,'原始数据'!$D$83,'原始数据'!$D$155,'原始数据'!$D$227)</x:f>
        <x:v>4</x:v>
      </x:c>
      <x:c r="D11" s="54" t="n">
        <x:f>AVERAGE('原始数据'!$D$11,'原始数据'!$D$83,'原始数据'!$D$155,'原始数据'!$D$227)</x:f>
        <x:v>0.911125</x:v>
      </x:c>
      <x:c r="E11" s="54" t="n">
        <x:f>AVERAGE('原始数据'!$E$11,'原始数据'!$E$83,'原始数据'!$E$155,'原始数据'!$E$227)</x:f>
        <x:v>0.079075</x:v>
      </x:c>
      <x:c r="F11" s="57" t="n">
        <x:f>MIN('原始数据'!$D$11,'原始数据'!$D$83,'原始数据'!$D$155,'原始数据'!$D$227)</x:f>
        <x:v>0.9035</x:v>
      </x:c>
      <x:c r="G11" s="57" t="n">
        <x:f>MAX('原始数据'!$E$11,'原始数据'!$E$83,'原始数据'!$E$155,'原始数据'!$E$227)</x:f>
        <x:v>0.087</x:v>
      </x:c>
      <x:c r="H11" s="60" t="n">
        <x:f>STDEV.P('原始数据'!$D$11,'原始数据'!$D$83,'原始数据'!$D$155,'原始数据'!$D$227)</x:f>
        <x:v>0.00683277944909685</x:v>
      </x:c>
      <x:c r="I11" s="63" t="n">
        <x:f>STDEV.P('原始数据'!$E$11,'原始数据'!$E$83,'原始数据'!$E$155,'原始数据'!$E$227)</x:f>
        <x:v>0.00840278971532669</x:v>
      </x:c>
    </x:row>
    <x:row r="12" ht="20" customHeight="1">
      <x:c r="A12" s="27" t="str">
        <x:v>CADE</x:v>
      </x:c>
      <x:c r="B12" s="30" t="str">
        <x:v>2013-08</x:v>
      </x:c>
      <x:c r="C12" s="51" t="n">
        <x:f>COUNT('原始数据'!$D$12,'原始数据'!$D$84,'原始数据'!$D$156,'原始数据'!$D$228)</x:f>
        <x:v>4</x:v>
      </x:c>
      <x:c r="D12" s="54" t="n">
        <x:f>AVERAGE('原始数据'!$D$12,'原始数据'!$D$84,'原始数据'!$D$156,'原始数据'!$D$228)</x:f>
        <x:v>0.9103000000000001</x:v>
      </x:c>
      <x:c r="E12" s="54" t="n">
        <x:f>AVERAGE('原始数据'!$E$12,'原始数据'!$E$84,'原始数据'!$E$156,'原始数据'!$E$228)</x:f>
        <x:v>0.093</x:v>
      </x:c>
      <x:c r="F12" s="57" t="n">
        <x:f>MIN('原始数据'!$D$12,'原始数据'!$D$84,'原始数据'!$D$156,'原始数据'!$D$228)</x:f>
        <x:v>0.9064</x:v>
      </x:c>
      <x:c r="G12" s="57" t="n">
        <x:f>MAX('原始数据'!$E$12,'原始数据'!$E$84,'原始数据'!$E$156,'原始数据'!$E$228)</x:f>
        <x:v>0.0992</x:v>
      </x:c>
      <x:c r="H12" s="60" t="n">
        <x:f>STDEV.P('原始数据'!$D$12,'原始数据'!$D$84,'原始数据'!$D$156,'原始数据'!$D$228)</x:f>
        <x:v>0.003339161571412825</x:v>
      </x:c>
      <x:c r="I12" s="63" t="n">
        <x:f>STDEV.P('原始数据'!$E$12,'原始数据'!$E$84,'原始数据'!$E$156,'原始数据'!$E$228)</x:f>
        <x:v>0.006199999999999997</x:v>
      </x:c>
    </x:row>
    <x:row r="13" ht="20" customHeight="1">
      <x:c r="A13" s="27" t="str">
        <x:v>CADE</x:v>
      </x:c>
      <x:c r="B13" s="30" t="str">
        <x:v>2013-09</x:v>
      </x:c>
      <x:c r="C13" s="51" t="n">
        <x:f>COUNT('原始数据'!$D$13,'原始数据'!$D$85,'原始数据'!$D$157,'原始数据'!$D$229)</x:f>
        <x:v>4</x:v>
      </x:c>
      <x:c r="D13" s="54" t="n">
        <x:f>AVERAGE('原始数据'!$D$13,'原始数据'!$D$85,'原始数据'!$D$157,'原始数据'!$D$229)</x:f>
        <x:v>0.8943</x:v>
      </x:c>
      <x:c r="E13" s="54" t="n">
        <x:f>AVERAGE('原始数据'!$E$13,'原始数据'!$E$85,'原始数据'!$E$157,'原始数据'!$E$229)</x:f>
        <x:v>0.0915</x:v>
      </x:c>
      <x:c r="F13" s="57" t="n">
        <x:f>MIN('原始数据'!$D$13,'原始数据'!$D$85,'原始数据'!$D$157,'原始数据'!$D$229)</x:f>
        <x:v>0.8751</x:v>
      </x:c>
      <x:c r="G13" s="57" t="n">
        <x:f>MAX('原始数据'!$E$13,'原始数据'!$E$85,'原始数据'!$E$157,'原始数据'!$E$229)</x:f>
        <x:v>0.096</x:v>
      </x:c>
      <x:c r="H13" s="60" t="n">
        <x:f>STDEV.P('原始数据'!$D$13,'原始数据'!$D$85,'原始数据'!$D$157,'原始数据'!$D$229)</x:f>
        <x:v>0.011486731475924735</x:v>
      </x:c>
      <x:c r="I13" s="63" t="n">
        <x:f>STDEV.P('原始数据'!$E$13,'原始数据'!$E$85,'原始数据'!$E$157,'原始数据'!$E$229)</x:f>
        <x:v>0.004974937185533099</x:v>
      </x:c>
    </x:row>
    <x:row r="14" ht="20" customHeight="1">
      <x:c r="A14" s="27" t="str">
        <x:v>CADE</x:v>
      </x:c>
      <x:c r="B14" s="30" t="str">
        <x:v>2013-10</x:v>
      </x:c>
      <x:c r="C14" s="51" t="n">
        <x:f>COUNT('原始数据'!$D$14,'原始数据'!$D$86,'原始数据'!$D$158,'原始数据'!$D$230)</x:f>
        <x:v>4</x:v>
      </x:c>
      <x:c r="D14" s="54" t="n">
        <x:f>AVERAGE('原始数据'!$D$14,'原始数据'!$D$86,'原始数据'!$D$158,'原始数据'!$D$230)</x:f>
        <x:v>0.883525</x:v>
      </x:c>
      <x:c r="E14" s="54" t="n">
        <x:f>AVERAGE('原始数据'!$E$14,'原始数据'!$E$86,'原始数据'!$E$158,'原始数据'!$E$230)</x:f>
        <x:v>0.11672500000000001</x:v>
      </x:c>
      <x:c r="F14" s="57" t="n">
        <x:f>MIN('原始数据'!$D$14,'原始数据'!$D$86,'原始数据'!$D$158,'原始数据'!$D$230)</x:f>
        <x:v>0.849</x:v>
      </x:c>
      <x:c r="G14" s="57" t="n">
        <x:f>MAX('原始数据'!$E$14,'原始数据'!$E$86,'原始数据'!$E$158,'原始数据'!$E$230)</x:f>
        <x:v>0.1383</x:v>
      </x:c>
      <x:c r="H14" s="60" t="n">
        <x:f>STDEV.P('原始数据'!$D$14,'原始数据'!$D$86,'原始数据'!$D$158,'原始数据'!$D$230)</x:f>
        <x:v>0.021292648379194173</x:v>
      </x:c>
      <x:c r="I14" s="63" t="n">
        <x:f>STDEV.P('原始数据'!$E$14,'原始数据'!$E$86,'原始数据'!$E$158,'原始数据'!$E$230)</x:f>
        <x:v>0.012483063526234257</x:v>
      </x:c>
    </x:row>
    <x:row r="15" ht="20" customHeight="1">
      <x:c r="A15" s="27" t="str">
        <x:v>CADE</x:v>
      </x:c>
      <x:c r="B15" s="30" t="str">
        <x:v>2013-11</x:v>
      </x:c>
      <x:c r="C15" s="51" t="n">
        <x:f>COUNT('原始数据'!$D$15,'原始数据'!$D$87,'原始数据'!$D$159,'原始数据'!$D$231)</x:f>
        <x:v>4</x:v>
      </x:c>
      <x:c r="D15" s="54" t="n">
        <x:f>AVERAGE('原始数据'!$D$15,'原始数据'!$D$87,'原始数据'!$D$159,'原始数据'!$D$231)</x:f>
        <x:v>0.89485</x:v>
      </x:c>
      <x:c r="E15" s="54" t="n">
        <x:f>AVERAGE('原始数据'!$E$15,'原始数据'!$E$87,'原始数据'!$E$159,'原始数据'!$E$231)</x:f>
        <x:v>0.1298</x:v>
      </x:c>
      <x:c r="F15" s="57" t="n">
        <x:f>MIN('原始数据'!$D$15,'原始数据'!$D$87,'原始数据'!$D$159,'原始数据'!$D$231)</x:f>
        <x:v>0.8809</x:v>
      </x:c>
      <x:c r="G15" s="57" t="n">
        <x:f>MAX('原始数据'!$E$15,'原始数据'!$E$87,'原始数据'!$E$159,'原始数据'!$E$231)</x:f>
        <x:v>0.1556</x:v>
      </x:c>
      <x:c r="H15" s="60" t="n">
        <x:f>STDEV.P('原始数据'!$D$15,'原始数据'!$D$87,'原始数据'!$D$159,'原始数据'!$D$231)</x:f>
        <x:v>0.009810581022549078</x:v>
      </x:c>
      <x:c r="I15" s="63" t="n">
        <x:f>STDEV.P('原始数据'!$E$15,'原始数据'!$E$87,'原始数据'!$E$159,'原始数据'!$E$231)</x:f>
        <x:v>0.018617062066824612</x:v>
      </x:c>
    </x:row>
    <x:row r="16" ht="20" customHeight="1">
      <x:c r="A16" s="27" t="str">
        <x:v>CADE</x:v>
      </x:c>
      <x:c r="B16" s="30" t="str">
        <x:v>2013-12</x:v>
      </x:c>
      <x:c r="C16" s="51" t="n">
        <x:f>COUNT('原始数据'!$D$16,'原始数据'!$D$88,'原始数据'!$D$160,'原始数据'!$D$232)</x:f>
        <x:v>4</x:v>
      </x:c>
      <x:c r="D16" s="54" t="n">
        <x:f>AVERAGE('原始数据'!$D$16,'原始数据'!$D$88,'原始数据'!$D$160,'原始数据'!$D$232)</x:f>
        <x:v>0.896</x:v>
      </x:c>
      <x:c r="E16" s="54" t="n">
        <x:f>AVERAGE('原始数据'!$E$16,'原始数据'!$E$88,'原始数据'!$E$160,'原始数据'!$E$232)</x:f>
        <x:v>0.13677499999999998</x:v>
      </x:c>
      <x:c r="F16" s="57" t="n">
        <x:f>MIN('原始数据'!$D$16,'原始数据'!$D$88,'原始数据'!$D$160,'原始数据'!$D$232)</x:f>
        <x:v>0.8226</x:v>
      </x:c>
      <x:c r="G16" s="57" t="n">
        <x:f>MAX('原始数据'!$E$16,'原始数据'!$E$88,'原始数据'!$E$160,'原始数据'!$E$232)</x:f>
        <x:v>0.2425</x:v>
      </x:c>
      <x:c r="H16" s="60" t="n">
        <x:f>STDEV.P('原始数据'!$D$16,'原始数据'!$D$88,'原始数据'!$D$160,'原始数据'!$D$232)</x:f>
        <x:v>0.04501283150391675</x:v>
      </x:c>
      <x:c r="I16" s="63" t="n">
        <x:f>STDEV.P('原始数据'!$E$16,'原始数据'!$E$88,'原始数据'!$E$160,'原始数据'!$E$232)</x:f>
        <x:v>0.06970578795910709</x:v>
      </x:c>
    </x:row>
    <x:row r="17" ht="20" customHeight="1">
      <x:c r="A17" s="27" t="str">
        <x:v>CADE</x:v>
      </x:c>
      <x:c r="B17" s="30" t="str">
        <x:v>2014-01</x:v>
      </x:c>
      <x:c r="C17" s="51" t="n">
        <x:f>COUNT('原始数据'!$D$17,'原始数据'!$D$89,'原始数据'!$D$161,'原始数据'!$D$233)</x:f>
        <x:v>4</x:v>
      </x:c>
      <x:c r="D17" s="54" t="n">
        <x:f>AVERAGE('原始数据'!$D$17,'原始数据'!$D$89,'原始数据'!$D$161,'原始数据'!$D$233)</x:f>
        <x:v>0.8767750000000001</x:v>
      </x:c>
      <x:c r="E17" s="54" t="n">
        <x:f>AVERAGE('原始数据'!$E$17,'原始数据'!$E$89,'原始数据'!$E$161,'原始数据'!$E$233)</x:f>
        <x:v>0.136425</x:v>
      </x:c>
      <x:c r="F17" s="57" t="n">
        <x:f>MIN('原始数据'!$D$17,'原始数据'!$D$89,'原始数据'!$D$161,'原始数据'!$D$233)</x:f>
        <x:v>0.8325</x:v>
      </x:c>
      <x:c r="G17" s="57" t="n">
        <x:f>MAX('原始数据'!$E$17,'原始数据'!$E$89,'原始数据'!$E$161,'原始数据'!$E$233)</x:f>
        <x:v>0.1582</x:v>
      </x:c>
      <x:c r="H17" s="60" t="n">
        <x:f>STDEV.P('原始数据'!$D$17,'原始数据'!$D$89,'原始数据'!$D$161,'原始数据'!$D$233)</x:f>
        <x:v>0.025748725696624276</x:v>
      </x:c>
      <x:c r="I17" s="63" t="n">
        <x:f>STDEV.P('原始数据'!$E$17,'原始数据'!$E$89,'原始数据'!$E$161,'原始数据'!$E$233)</x:f>
        <x:v>0.019831713869456674</x:v>
      </x:c>
    </x:row>
    <x:row r="18" ht="20" customHeight="1">
      <x:c r="A18" s="27" t="str">
        <x:v>CADE</x:v>
      </x:c>
      <x:c r="B18" s="30" t="str">
        <x:v>2014-02</x:v>
      </x:c>
      <x:c r="C18" s="51" t="n">
        <x:f>COUNT('原始数据'!$D$18,'原始数据'!$D$90,'原始数据'!$D$162,'原始数据'!$D$234)</x:f>
        <x:v>4</x:v>
      </x:c>
      <x:c r="D18" s="54" t="n">
        <x:f>AVERAGE('原始数据'!$D$18,'原始数据'!$D$90,'原始数据'!$D$162,'原始数据'!$D$234)</x:f>
        <x:v>0.918025</x:v>
      </x:c>
      <x:c r="E18" s="54" t="n">
        <x:f>AVERAGE('原始数据'!$E$18,'原始数据'!$E$90,'原始数据'!$E$162,'原始数据'!$E$234)</x:f>
        <x:v>0.067675</x:v>
      </x:c>
      <x:c r="F18" s="57" t="n">
        <x:f>MIN('原始数据'!$D$18,'原始数据'!$D$90,'原始数据'!$D$162,'原始数据'!$D$234)</x:f>
        <x:v>0.8869</x:v>
      </x:c>
      <x:c r="G18" s="57" t="n">
        <x:f>MAX('原始数据'!$E$18,'原始数据'!$E$90,'原始数据'!$E$162,'原始数据'!$E$234)</x:f>
        <x:v>0.097</x:v>
      </x:c>
      <x:c r="H18" s="60" t="n">
        <x:f>STDEV.P('原始数据'!$D$18,'原始数据'!$D$90,'原始数据'!$D$162,'原始数据'!$D$234)</x:f>
        <x:v>0.018590504968935072</x:v>
      </x:c>
      <x:c r="I18" s="63" t="n">
        <x:f>STDEV.P('原始数据'!$E$18,'原始数据'!$E$90,'原始数据'!$E$162,'原始数据'!$E$234)</x:f>
        <x:v>0.01707298670414758</x:v>
      </x:c>
    </x:row>
    <x:row r="19" ht="20" customHeight="1">
      <x:c r="A19" s="27" t="str">
        <x:v>CADE</x:v>
      </x:c>
      <x:c r="B19" s="30" t="str">
        <x:v>2014-03</x:v>
      </x:c>
      <x:c r="C19" s="51" t="n">
        <x:f>COUNT('原始数据'!$D$19,'原始数据'!$D$91,'原始数据'!$D$163,'原始数据'!$D$235)</x:f>
        <x:v>4</x:v>
      </x:c>
      <x:c r="D19" s="54" t="n">
        <x:f>AVERAGE('原始数据'!$D$19,'原始数据'!$D$91,'原始数据'!$D$163,'原始数据'!$D$235)</x:f>
        <x:v>0.874975</x:v>
      </x:c>
      <x:c r="E19" s="54" t="n">
        <x:f>AVERAGE('原始数据'!$E$19,'原始数据'!$E$91,'原始数据'!$E$163,'原始数据'!$E$235)</x:f>
        <x:v>0.10325000000000001</x:v>
      </x:c>
      <x:c r="F19" s="57" t="n">
        <x:f>MIN('原始数据'!$D$19,'原始数据'!$D$91,'原始数据'!$D$163,'原始数据'!$D$235)</x:f>
        <x:v>0.8395</x:v>
      </x:c>
      <x:c r="G19" s="57" t="n">
        <x:f>MAX('原始数据'!$E$19,'原始数据'!$E$91,'原始数据'!$E$163,'原始数据'!$E$235)</x:f>
        <x:v>0.1215</x:v>
      </x:c>
      <x:c r="H19" s="60" t="n">
        <x:f>STDEV.P('原始数据'!$D$19,'原始数据'!$D$91,'原始数据'!$D$163,'原始数据'!$D$235)</x:f>
        <x:v>0.021512133204310523</x:v>
      </x:c>
      <x:c r="I19" s="63" t="n">
        <x:f>STDEV.P('原始数据'!$E$19,'原始数据'!$E$91,'原始数据'!$E$163,'原始数据'!$E$235)</x:f>
        <x:v>0.013595311691903202</x:v>
      </x:c>
    </x:row>
    <x:row r="20" ht="20" customHeight="1">
      <x:c r="A20" s="27" t="str">
        <x:v>CADE</x:v>
      </x:c>
      <x:c r="B20" s="30" t="str">
        <x:v>2014-04</x:v>
      </x:c>
      <x:c r="C20" s="51" t="n">
        <x:f>COUNT('原始数据'!$D$20,'原始数据'!$D$92,'原始数据'!$D$164,'原始数据'!$D$236)</x:f>
        <x:v>4</x:v>
      </x:c>
      <x:c r="D20" s="54" t="n">
        <x:f>AVERAGE('原始数据'!$D$20,'原始数据'!$D$92,'原始数据'!$D$164,'原始数据'!$D$236)</x:f>
        <x:v>0.86115</x:v>
      </x:c>
      <x:c r="E20" s="54" t="n">
        <x:f>AVERAGE('原始数据'!$E$20,'原始数据'!$E$92,'原始数据'!$E$164,'原始数据'!$E$236)</x:f>
        <x:v>0.13127499999999998</x:v>
      </x:c>
      <x:c r="F20" s="57" t="n">
        <x:f>MIN('原始数据'!$D$20,'原始数据'!$D$92,'原始数据'!$D$164,'原始数据'!$D$236)</x:f>
        <x:v>0.8243</x:v>
      </x:c>
      <x:c r="G20" s="57" t="n">
        <x:f>MAX('原始数据'!$E$20,'原始数据'!$E$92,'原始数据'!$E$164,'原始数据'!$E$236)</x:f>
        <x:v>0.1523</x:v>
      </x:c>
      <x:c r="H20" s="60" t="n">
        <x:f>STDEV.P('原始数据'!$D$20,'原始数据'!$D$92,'原始数据'!$D$164,'原始数据'!$D$236)</x:f>
        <x:v>0.021335709503084256</x:v>
      </x:c>
      <x:c r="I20" s="63" t="n">
        <x:f>STDEV.P('原始数据'!$E$20,'原始数据'!$E$92,'原始数据'!$E$164,'原始数据'!$E$236)</x:f>
        <x:v>0.017263310082368324</x:v>
      </x:c>
    </x:row>
    <x:row r="21" ht="20" customHeight="1">
      <x:c r="A21" s="27" t="str">
        <x:v>CADE</x:v>
      </x:c>
      <x:c r="B21" s="30" t="str">
        <x:v>2014-05</x:v>
      </x:c>
      <x:c r="C21" s="51" t="n">
        <x:f>COUNT('原始数据'!$D$21,'原始数据'!$D$93,'原始数据'!$D$165,'原始数据'!$D$237)</x:f>
        <x:v>4</x:v>
      </x:c>
      <x:c r="D21" s="54" t="n">
        <x:f>AVERAGE('原始数据'!$D$21,'原始数据'!$D$93,'原始数据'!$D$165,'原始数据'!$D$237)</x:f>
        <x:v>0.877375</x:v>
      </x:c>
      <x:c r="E21" s="54" t="n">
        <x:f>AVERAGE('原始数据'!$E$21,'原始数据'!$E$93,'原始数据'!$E$165,'原始数据'!$E$237)</x:f>
        <x:v>0.1001</x:v>
      </x:c>
      <x:c r="F21" s="57" t="n">
        <x:f>MIN('原始数据'!$D$21,'原始数据'!$D$93,'原始数据'!$D$165,'原始数据'!$D$237)</x:f>
        <x:v>0.8373</x:v>
      </x:c>
      <x:c r="G21" s="57" t="n">
        <x:f>MAX('原始数据'!$E$21,'原始数据'!$E$93,'原始数据'!$E$165,'原始数据'!$E$237)</x:f>
        <x:v>0.1147</x:v>
      </x:c>
      <x:c r="H21" s="60" t="n">
        <x:f>STDEV.P('原始数据'!$D$21,'原始数据'!$D$93,'原始数据'!$D$165,'原始数据'!$D$237)</x:f>
        <x:v>0.023314949603205206</x:v>
      </x:c>
      <x:c r="I21" s="63" t="n">
        <x:f>STDEV.P('原始数据'!$E$21,'原始数据'!$E$93,'原始数据'!$E$165,'原始数据'!$E$237)</x:f>
        <x:v>0.009800765276242462</x:v>
      </x:c>
    </x:row>
    <x:row r="22" ht="20" customHeight="1">
      <x:c r="A22" s="27" t="str">
        <x:v>CADE</x:v>
      </x:c>
      <x:c r="B22" s="30" t="str">
        <x:v>2014-06</x:v>
      </x:c>
      <x:c r="C22" s="51" t="n">
        <x:f>COUNT('原始数据'!$D$22,'原始数据'!$D$94,'原始数据'!$D$166,'原始数据'!$D$238)</x:f>
        <x:v>4</x:v>
      </x:c>
      <x:c r="D22" s="54" t="n">
        <x:f>AVERAGE('原始数据'!$D$22,'原始数据'!$D$94,'原始数据'!$D$166,'原始数据'!$D$238)</x:f>
        <x:v>0.7855</x:v>
      </x:c>
      <x:c r="E22" s="54" t="n">
        <x:f>AVERAGE('原始数据'!$E$22,'原始数据'!$E$94,'原始数据'!$E$166,'原始数据'!$E$238)</x:f>
        <x:v>0.26805</x:v>
      </x:c>
      <x:c r="F22" s="57" t="n">
        <x:f>MIN('原始数据'!$D$22,'原始数据'!$D$94,'原始数据'!$D$166,'原始数据'!$D$238)</x:f>
        <x:v>0.7513</x:v>
      </x:c>
      <x:c r="G22" s="57" t="n">
        <x:f>MAX('原始数据'!$E$22,'原始数据'!$E$94,'原始数据'!$E$166,'原始数据'!$E$238)</x:f>
        <x:v>0.2811</x:v>
      </x:c>
      <x:c r="H22" s="60" t="n">
        <x:f>STDEV.P('原始数据'!$D$22,'原始数据'!$D$94,'原始数据'!$D$166,'原始数据'!$D$238)</x:f>
        <x:v>0.020860608811825245</x:v>
      </x:c>
      <x:c r="I22" s="63" t="n">
        <x:f>STDEV.P('原始数据'!$E$22,'原始数据'!$E$94,'原始数据'!$E$166,'原始数据'!$E$238)</x:f>
        <x:v>0.00958657916047221</x:v>
      </x:c>
    </x:row>
    <x:row r="23" ht="20" customHeight="1">
      <x:c r="A23" s="27" t="str">
        <x:v>CADE</x:v>
      </x:c>
      <x:c r="B23" s="30" t="str">
        <x:v>2014-07</x:v>
      </x:c>
      <x:c r="C23" s="51" t="n">
        <x:f>COUNT('原始数据'!$D$23,'原始数据'!$D$95,'原始数据'!$D$167,'原始数据'!$D$239)</x:f>
        <x:v>4</x:v>
      </x:c>
      <x:c r="D23" s="54" t="n">
        <x:f>AVERAGE('原始数据'!$D$23,'原始数据'!$D$95,'原始数据'!$D$167,'原始数据'!$D$239)</x:f>
        <x:v>0.78955</x:v>
      </x:c>
      <x:c r="E23" s="54" t="n">
        <x:f>AVERAGE('原始数据'!$E$23,'原始数据'!$E$95,'原始数据'!$E$167,'原始数据'!$E$239)</x:f>
        <x:v>0.27504999999999996</x:v>
      </x:c>
      <x:c r="F23" s="57" t="n">
        <x:f>MIN('原始数据'!$D$23,'原始数据'!$D$95,'原始数据'!$D$167,'原始数据'!$D$239)</x:f>
        <x:v>0.7661</x:v>
      </x:c>
      <x:c r="G23" s="57" t="n">
        <x:f>MAX('原始数据'!$E$23,'原始数据'!$E$95,'原始数据'!$E$167,'原始数据'!$E$239)</x:f>
        <x:v>0.2946</x:v>
      </x:c>
      <x:c r="H23" s="60" t="n">
        <x:f>STDEV.P('原始数据'!$D$23,'原始数据'!$D$95,'原始数据'!$D$167,'原始数据'!$D$239)</x:f>
        <x:v>0.014801773542383352</x:v>
      </x:c>
      <x:c r="I23" s="63" t="n">
        <x:f>STDEV.P('原始数据'!$E$23,'原始数据'!$E$95,'原始数据'!$E$167,'原始数据'!$E$239)</x:f>
        <x:v>0.013557378065097972</x:v>
      </x:c>
    </x:row>
    <x:row r="24" ht="20" customHeight="1">
      <x:c r="A24" s="27" t="str">
        <x:v>CADE</x:v>
      </x:c>
      <x:c r="B24" s="30" t="str">
        <x:v>2014-08</x:v>
      </x:c>
      <x:c r="C24" s="51" t="n">
        <x:f>COUNT('原始数据'!$D$24,'原始数据'!$D$96,'原始数据'!$D$168,'原始数据'!$D$240)</x:f>
        <x:v>4</x:v>
      </x:c>
      <x:c r="D24" s="54" t="n">
        <x:f>AVERAGE('原始数据'!$D$24,'原始数据'!$D$96,'原始数据'!$D$168,'原始数据'!$D$240)</x:f>
        <x:v>0.83285</x:v>
      </x:c>
      <x:c r="E24" s="54" t="n">
        <x:f>AVERAGE('原始数据'!$E$24,'原始数据'!$E$96,'原始数据'!$E$168,'原始数据'!$E$240)</x:f>
        <x:v>0.215725</x:v>
      </x:c>
      <x:c r="F24" s="57" t="n">
        <x:f>MIN('原始数据'!$D$24,'原始数据'!$D$96,'原始数据'!$D$168,'原始数据'!$D$240)</x:f>
        <x:v>0.8017</x:v>
      </x:c>
      <x:c r="G24" s="57" t="n">
        <x:f>MAX('原始数据'!$E$24,'原始数据'!$E$96,'原始数据'!$E$168,'原始数据'!$E$240)</x:f>
        <x:v>0.2258</x:v>
      </x:c>
      <x:c r="H24" s="60" t="n">
        <x:f>STDEV.P('原始数据'!$D$24,'原始数据'!$D$96,'原始数据'!$D$168,'原始数据'!$D$240)</x:f>
        <x:v>0.019393491176165272</x:v>
      </x:c>
      <x:c r="I24" s="63" t="n">
        <x:f>STDEV.P('原始数据'!$E$24,'原始数据'!$E$96,'原始数据'!$E$168,'原始数据'!$E$240)</x:f>
        <x:v>0.007694600379486901</x:v>
      </x:c>
    </x:row>
    <x:row r="25" ht="20" customHeight="1">
      <x:c r="A25" s="27" t="str">
        <x:v>CADE</x:v>
      </x:c>
      <x:c r="B25" s="30" t="str">
        <x:v>2014-09</x:v>
      </x:c>
      <x:c r="C25" s="51" t="n">
        <x:f>COUNT('原始数据'!$D$25,'原始数据'!$D$97,'原始数据'!$D$169,'原始数据'!$D$241)</x:f>
        <x:v>4</x:v>
      </x:c>
      <x:c r="D25" s="54" t="n">
        <x:f>AVERAGE('原始数据'!$D$25,'原始数据'!$D$97,'原始数据'!$D$169,'原始数据'!$D$241)</x:f>
        <x:v>0.83385</x:v>
      </x:c>
      <x:c r="E25" s="54" t="n">
        <x:f>AVERAGE('原始数据'!$E$25,'原始数据'!$E$97,'原始数据'!$E$169,'原始数据'!$E$241)</x:f>
        <x:v>0.21505000000000002</x:v>
      </x:c>
      <x:c r="F25" s="57" t="n">
        <x:f>MIN('原始数据'!$D$25,'原始数据'!$D$97,'原始数据'!$D$169,'原始数据'!$D$241)</x:f>
        <x:v>0.8014</x:v>
      </x:c>
      <x:c r="G25" s="57" t="n">
        <x:f>MAX('原始数据'!$E$25,'原始数据'!$E$97,'原始数据'!$E$169,'原始数据'!$E$241)</x:f>
        <x:v>0.2227</x:v>
      </x:c>
      <x:c r="H25" s="60" t="n">
        <x:f>STDEV.P('原始数据'!$D$25,'原始数据'!$D$97,'原始数据'!$D$169,'原始数据'!$D$241)</x:f>
        <x:v>0.020345085401639387</x:v>
      </x:c>
      <x:c r="I25" s="63" t="n">
        <x:f>STDEV.P('原始数据'!$E$25,'原始数据'!$E$97,'原始数据'!$E$169,'原始数据'!$E$241)</x:f>
        <x:v>0.004524102120863327</x:v>
      </x:c>
    </x:row>
    <x:row r="26" ht="20" customHeight="1">
      <x:c r="A26" s="27" t="str">
        <x:v>CADE</x:v>
      </x:c>
      <x:c r="B26" s="30" t="str">
        <x:v>2014-10</x:v>
      </x:c>
      <x:c r="C26" s="51" t="n">
        <x:f>COUNT('原始数据'!$D$26,'原始数据'!$D$98,'原始数据'!$D$170,'原始数据'!$D$242)</x:f>
        <x:v>4</x:v>
      </x:c>
      <x:c r="D26" s="54" t="n">
        <x:f>AVERAGE('原始数据'!$D$26,'原始数据'!$D$98,'原始数据'!$D$170,'原始数据'!$D$242)</x:f>
        <x:v>0.814025</x:v>
      </x:c>
      <x:c r="E26" s="54" t="n">
        <x:f>AVERAGE('原始数据'!$E$26,'原始数据'!$E$98,'原始数据'!$E$170,'原始数据'!$E$242)</x:f>
        <x:v>0.24335</x:v>
      </x:c>
      <x:c r="F26" s="57" t="n">
        <x:f>MIN('原始数据'!$D$26,'原始数据'!$D$98,'原始数据'!$D$170,'原始数据'!$D$242)</x:f>
        <x:v>0.7827</x:v>
      </x:c>
      <x:c r="G26" s="57" t="n">
        <x:f>MAX('原始数据'!$E$26,'原始数据'!$E$98,'原始数据'!$E$170,'原始数据'!$E$242)</x:f>
        <x:v>0.2597</x:v>
      </x:c>
      <x:c r="H26" s="60" t="n">
        <x:f>STDEV.P('原始数据'!$D$26,'原始数据'!$D$98,'原始数据'!$D$170,'原始数据'!$D$242)</x:f>
        <x:v>0.0188556854821033</x:v>
      </x:c>
      <x:c r="I26" s="63" t="n">
        <x:f>STDEV.P('原始数据'!$E$26,'原始数据'!$E$98,'原始数据'!$E$170,'原始数据'!$E$242)</x:f>
        <x:v>0.013486567391297166</x:v>
      </x:c>
    </x:row>
    <x:row r="27" ht="20" customHeight="1">
      <x:c r="A27" s="27" t="str">
        <x:v>CADE</x:v>
      </x:c>
      <x:c r="B27" s="30" t="str">
        <x:v>2014-11</x:v>
      </x:c>
      <x:c r="C27" s="51" t="n">
        <x:f>COUNT('原始数据'!$D$27,'原始数据'!$D$99,'原始数据'!$D$171,'原始数据'!$D$243)</x:f>
        <x:v>4</x:v>
      </x:c>
      <x:c r="D27" s="54" t="n">
        <x:f>AVERAGE('原始数据'!$D$27,'原始数据'!$D$99,'原始数据'!$D$171,'原始数据'!$D$243)</x:f>
        <x:v>0.8776250000000001</x:v>
      </x:c>
      <x:c r="E27" s="54" t="n">
        <x:f>AVERAGE('原始数据'!$E$27,'原始数据'!$E$99,'原始数据'!$E$171,'原始数据'!$E$243)</x:f>
        <x:v>0.13135000000000002</x:v>
      </x:c>
      <x:c r="F27" s="57" t="n">
        <x:f>MIN('原始数据'!$D$27,'原始数据'!$D$99,'原始数据'!$D$171,'原始数据'!$D$243)</x:f>
        <x:v>0.8234</x:v>
      </x:c>
      <x:c r="G27" s="57" t="n">
        <x:f>MAX('原始数据'!$E$27,'原始数据'!$E$99,'原始数据'!$E$171,'原始数据'!$E$243)</x:f>
        <x:v>0.1582</x:v>
      </x:c>
      <x:c r="H27" s="60" t="n">
        <x:f>STDEV.P('原始数据'!$D$27,'原始数据'!$D$99,'原始数据'!$D$171,'原始数据'!$D$243)</x:f>
        <x:v>0.034236484559603944</x:v>
      </x:c>
      <x:c r="I27" s="63" t="n">
        <x:f>STDEV.P('原始数据'!$E$27,'原始数据'!$E$99,'原始数据'!$E$171,'原始数据'!$E$243)</x:f>
        <x:v>0.017396910645284123</x:v>
      </x:c>
    </x:row>
    <x:row r="28" ht="20" customHeight="1">
      <x:c r="A28" s="27" t="str">
        <x:v>CADE</x:v>
      </x:c>
      <x:c r="B28" s="30" t="str">
        <x:v>2014-12</x:v>
      </x:c>
      <x:c r="C28" s="51" t="n">
        <x:f>COUNT('原始数据'!$D$28,'原始数据'!$D$100,'原始数据'!$D$172,'原始数据'!$D$244)</x:f>
        <x:v>4</x:v>
      </x:c>
      <x:c r="D28" s="54" t="n">
        <x:f>AVERAGE('原始数据'!$D$28,'原始数据'!$D$100,'原始数据'!$D$172,'原始数据'!$D$244)</x:f>
        <x:v>0.84725</x:v>
      </x:c>
      <x:c r="E28" s="54" t="n">
        <x:f>AVERAGE('原始数据'!$E$28,'原始数据'!$E$100,'原始数据'!$E$172,'原始数据'!$E$244)</x:f>
        <x:v>0.198275</x:v>
      </x:c>
      <x:c r="F28" s="57" t="n">
        <x:f>MIN('原始数据'!$D$28,'原始数据'!$D$100,'原始数据'!$D$172,'原始数据'!$D$244)</x:f>
        <x:v>0.8175</x:v>
      </x:c>
      <x:c r="G28" s="57" t="n">
        <x:f>MAX('原始数据'!$E$28,'原始数据'!$E$100,'原始数据'!$E$172,'原始数据'!$E$244)</x:f>
        <x:v>0.2049</x:v>
      </x:c>
      <x:c r="H28" s="60" t="n">
        <x:f>STDEV.P('原始数据'!$D$28,'原始数据'!$D$100,'原始数据'!$D$172,'原始数据'!$D$244)</x:f>
        <x:v>0.020972422368434235</x:v>
      </x:c>
      <x:c r="I28" s="63" t="n">
        <x:f>STDEV.P('原始数据'!$E$28,'原始数据'!$E$100,'原始数据'!$E$172,'原始数据'!$E$244)</x:f>
        <x:v>0.004175149697915029</x:v>
      </x:c>
    </x:row>
    <x:row r="29" ht="20" customHeight="1">
      <x:c r="A29" s="27" t="str">
        <x:v>CADE</x:v>
      </x:c>
      <x:c r="B29" s="30" t="str">
        <x:v>2015-01</x:v>
      </x:c>
      <x:c r="C29" s="51" t="n">
        <x:f>COUNT('原始数据'!$D$29,'原始数据'!$D$101,'原始数据'!$D$173,'原始数据'!$D$245)</x:f>
        <x:v>4</x:v>
      </x:c>
      <x:c r="D29" s="54" t="n">
        <x:f>AVERAGE('原始数据'!$D$29,'原始数据'!$D$101,'原始数据'!$D$173,'原始数据'!$D$245)</x:f>
        <x:v>0.855575</x:v>
      </x:c>
      <x:c r="E29" s="54" t="n">
        <x:f>AVERAGE('原始数据'!$E$29,'原始数据'!$E$101,'原始数据'!$E$173,'原始数据'!$E$245)</x:f>
        <x:v>0.19142499999999998</x:v>
      </x:c>
      <x:c r="F29" s="57" t="n">
        <x:f>MIN('原始数据'!$D$29,'原始数据'!$D$101,'原始数据'!$D$173,'原始数据'!$D$245)</x:f>
        <x:v>0.8158</x:v>
      </x:c>
      <x:c r="G29" s="57" t="n">
        <x:f>MAX('原始数据'!$E$29,'原始数据'!$E$101,'原始数据'!$E$173,'原始数据'!$E$245)</x:f>
        <x:v>0.2218</x:v>
      </x:c>
      <x:c r="H29" s="60" t="n">
        <x:f>STDEV.P('原始数据'!$D$29,'原始数据'!$D$101,'原始数据'!$D$173,'原始数据'!$D$245)</x:f>
        <x:v>0.02448840286747996</x:v>
      </x:c>
      <x:c r="I29" s="63" t="n">
        <x:f>STDEV.P('原始数据'!$E$29,'原始数据'!$E$101,'原始数据'!$E$173,'原始数据'!$E$245)</x:f>
        <x:v>0.017930752215119142</x:v>
      </x:c>
    </x:row>
    <x:row r="30" ht="20" customHeight="1">
      <x:c r="A30" s="27" t="str">
        <x:v>CADE</x:v>
      </x:c>
      <x:c r="B30" s="30" t="str">
        <x:v>2015-02</x:v>
      </x:c>
      <x:c r="C30" s="51" t="n">
        <x:f>COUNT('原始数据'!$D$30,'原始数据'!$D$102,'原始数据'!$D$174,'原始数据'!$D$246)</x:f>
        <x:v>4</x:v>
      </x:c>
      <x:c r="D30" s="54" t="n">
        <x:f>AVERAGE('原始数据'!$D$30,'原始数据'!$D$102,'原始数据'!$D$174,'原始数据'!$D$246)</x:f>
        <x:v>0.906475</x:v>
      </x:c>
      <x:c r="E30" s="54" t="n">
        <x:f>AVERAGE('原始数据'!$E$30,'原始数据'!$E$102,'原始数据'!$E$174,'原始数据'!$E$246)</x:f>
        <x:v>0.1027</x:v>
      </x:c>
      <x:c r="F30" s="57" t="n">
        <x:f>MIN('原始数据'!$D$30,'原始数据'!$D$102,'原始数据'!$D$174,'原始数据'!$D$246)</x:f>
        <x:v>0.861</x:v>
      </x:c>
      <x:c r="G30" s="57" t="n">
        <x:f>MAX('原始数据'!$E$30,'原始数据'!$E$102,'原始数据'!$E$174,'原始数据'!$E$246)</x:f>
        <x:v>0.139</x:v>
      </x:c>
      <x:c r="H30" s="60" t="n">
        <x:f>STDEV.P('原始数据'!$D$30,'原始数据'!$D$102,'原始数据'!$D$174,'原始数据'!$D$246)</x:f>
        <x:v>0.027113592071136568</x:v>
      </x:c>
      <x:c r="I30" s="63" t="n">
        <x:f>STDEV.P('原始数据'!$E$30,'原始数据'!$E$102,'原始数据'!$E$174,'原始数据'!$E$246)</x:f>
        <x:v>0.02227666940994547</x:v>
      </x:c>
    </x:row>
    <x:row r="31" ht="20" customHeight="1">
      <x:c r="A31" s="27" t="str">
        <x:v>CADE</x:v>
      </x:c>
      <x:c r="B31" s="30" t="str">
        <x:v>2015-03</x:v>
      </x:c>
      <x:c r="C31" s="51" t="n">
        <x:f>COUNT('原始数据'!$D$31,'原始数据'!$D$103,'原始数据'!$D$175,'原始数据'!$D$247)</x:f>
        <x:v>4</x:v>
      </x:c>
      <x:c r="D31" s="54" t="n">
        <x:f>AVERAGE('原始数据'!$D$31,'原始数据'!$D$103,'原始数据'!$D$175,'原始数据'!$D$247)</x:f>
        <x:v>0.9049</x:v>
      </x:c>
      <x:c r="E31" s="54" t="n">
        <x:f>AVERAGE('原始数据'!$E$31,'原始数据'!$E$103,'原始数据'!$E$175,'原始数据'!$E$247)</x:f>
        <x:v>0.12157499999999999</x:v>
      </x:c>
      <x:c r="F31" s="57" t="n">
        <x:f>MIN('原始数据'!$D$31,'原始数据'!$D$103,'原始数据'!$D$175,'原始数据'!$D$247)</x:f>
        <x:v>0.8606</x:v>
      </x:c>
      <x:c r="G31" s="57" t="n">
        <x:f>MAX('原始数据'!$E$31,'原始数据'!$E$103,'原始数据'!$E$175,'原始数据'!$E$247)</x:f>
        <x:v>0.1741</x:v>
      </x:c>
      <x:c r="H31" s="60" t="n">
        <x:f>STDEV.P('原始数据'!$D$31,'原始数据'!$D$103,'原始数据'!$D$175,'原始数据'!$D$247)</x:f>
        <x:v>0.028020974287129984</x:v>
      </x:c>
      <x:c r="I31" s="63" t="n">
        <x:f>STDEV.P('原始数据'!$E$31,'原始数据'!$E$103,'原始数据'!$E$175,'原始数据'!$E$247)</x:f>
        <x:v>0.03420492471852555</x:v>
      </x:c>
    </x:row>
    <x:row r="32" ht="20" customHeight="1">
      <x:c r="A32" s="27" t="str">
        <x:v>CADE</x:v>
      </x:c>
      <x:c r="B32" s="30" t="str">
        <x:v>2015-04</x:v>
      </x:c>
      <x:c r="C32" s="51" t="n">
        <x:f>COUNT('原始数据'!$D$32,'原始数据'!$D$104,'原始数据'!$D$176,'原始数据'!$D$248)</x:f>
        <x:v>4</x:v>
      </x:c>
      <x:c r="D32" s="54" t="n">
        <x:f>AVERAGE('原始数据'!$D$32,'原始数据'!$D$104,'原始数据'!$D$176,'原始数据'!$D$248)</x:f>
        <x:v>0.91545</x:v>
      </x:c>
      <x:c r="E32" s="54" t="n">
        <x:f>AVERAGE('原始数据'!$E$32,'原始数据'!$E$104,'原始数据'!$E$176,'原始数据'!$E$248)</x:f>
        <x:v>0.086175</x:v>
      </x:c>
      <x:c r="F32" s="57" t="n">
        <x:f>MIN('原始数据'!$D$32,'原始数据'!$D$104,'原始数据'!$D$176,'原始数据'!$D$248)</x:f>
        <x:v>0.8844</x:v>
      </x:c>
      <x:c r="G32" s="57" t="n">
        <x:f>MAX('原始数据'!$E$32,'原始数据'!$E$104,'原始数据'!$E$176,'原始数据'!$E$248)</x:f>
        <x:v>0.1071</x:v>
      </x:c>
      <x:c r="H32" s="60" t="n">
        <x:f>STDEV.P('原始数据'!$D$32,'原始数据'!$D$104,'原始数据'!$D$176,'原始数据'!$D$248)</x:f>
        <x:v>0.020358352094410788</x:v>
      </x:c>
      <x:c r="I32" s="63" t="n">
        <x:f>STDEV.P('原始数据'!$E$32,'原始数据'!$E$104,'原始数据'!$E$176,'原始数据'!$E$248)</x:f>
        <x:v>0.015344278249562606</x:v>
      </x:c>
    </x:row>
    <x:row r="33" ht="20" customHeight="1">
      <x:c r="A33" s="27" t="str">
        <x:v>CADE</x:v>
      </x:c>
      <x:c r="B33" s="30" t="str">
        <x:v>2015-05</x:v>
      </x:c>
      <x:c r="C33" s="51" t="n">
        <x:f>COUNT('原始数据'!$D$33,'原始数据'!$D$105,'原始数据'!$D$177,'原始数据'!$D$249)</x:f>
        <x:v>4</x:v>
      </x:c>
      <x:c r="D33" s="54" t="n">
        <x:f>AVERAGE('原始数据'!$D$33,'原始数据'!$D$105,'原始数据'!$D$177,'原始数据'!$D$249)</x:f>
        <x:v>0.9112250000000001</x:v>
      </x:c>
      <x:c r="E33" s="54" t="n">
        <x:f>AVERAGE('原始数据'!$E$33,'原始数据'!$E$105,'原始数据'!$E$177,'原始数据'!$E$249)</x:f>
        <x:v>0.113775</x:v>
      </x:c>
      <x:c r="F33" s="57" t="n">
        <x:f>MIN('原始数据'!$D$33,'原始数据'!$D$105,'原始数据'!$D$177,'原始数据'!$D$249)</x:f>
        <x:v>0.8779</x:v>
      </x:c>
      <x:c r="G33" s="57" t="n">
        <x:f>MAX('原始数据'!$E$33,'原始数据'!$E$105,'原始数据'!$E$177,'原始数据'!$E$249)</x:f>
        <x:v>0.1419</x:v>
      </x:c>
      <x:c r="H33" s="60" t="n">
        <x:f>STDEV.P('原始数据'!$D$33,'原始数据'!$D$105,'原始数据'!$D$177,'原始数据'!$D$249)</x:f>
        <x:v>0.019777939098905115</x:v>
      </x:c>
      <x:c r="I33" s="63" t="n">
        <x:f>STDEV.P('原始数据'!$E$33,'原始数据'!$E$105,'原始数据'!$E$177,'原始数据'!$E$249)</x:f>
        <x:v>0.016341568927125696</x:v>
      </x:c>
    </x:row>
    <x:row r="34" ht="20" customHeight="1">
      <x:c r="A34" s="27" t="str">
        <x:v>CADE</x:v>
      </x:c>
      <x:c r="B34" s="30" t="str">
        <x:v>2015-06</x:v>
      </x:c>
      <x:c r="C34" s="51" t="n">
        <x:f>COUNT('原始数据'!$D$34,'原始数据'!$D$106,'原始数据'!$D$178,'原始数据'!$D$250)</x:f>
        <x:v>4</x:v>
      </x:c>
      <x:c r="D34" s="54" t="n">
        <x:f>AVERAGE('原始数据'!$D$34,'原始数据'!$D$106,'原始数据'!$D$178,'原始数据'!$D$250)</x:f>
        <x:v>0.9027</x:v>
      </x:c>
      <x:c r="E34" s="54" t="n">
        <x:f>AVERAGE('原始数据'!$E$34,'原始数据'!$E$106,'原始数据'!$E$178,'原始数据'!$E$250)</x:f>
        <x:v>0.118675</x:v>
      </x:c>
      <x:c r="F34" s="57" t="n">
        <x:f>MIN('原始数据'!$D$34,'原始数据'!$D$106,'原始数据'!$D$178,'原始数据'!$D$250)</x:f>
        <x:v>0.8775</x:v>
      </x:c>
      <x:c r="G34" s="57" t="n">
        <x:f>MAX('原始数据'!$E$34,'原始数据'!$E$106,'原始数据'!$E$178,'原始数据'!$E$250)</x:f>
        <x:v>0.1772</x:v>
      </x:c>
      <x:c r="H34" s="60" t="n">
        <x:f>STDEV.P('原始数据'!$D$34,'原始数据'!$D$106,'原始数据'!$D$178,'原始数据'!$D$250)</x:f>
        <x:v>0.02009378013217026</x:v>
      </x:c>
      <x:c r="I34" s="63" t="n">
        <x:f>STDEV.P('原始数据'!$E$34,'原始数据'!$E$106,'原始数据'!$E$178,'原始数据'!$E$250)</x:f>
        <x:v>0.036686399046513135</x:v>
      </x:c>
    </x:row>
    <x:row r="35" ht="20" customHeight="1">
      <x:c r="A35" s="27" t="str">
        <x:v>CADE</x:v>
      </x:c>
      <x:c r="B35" s="30" t="str">
        <x:v>2015-07</x:v>
      </x:c>
      <x:c r="C35" s="51" t="n">
        <x:f>COUNT('原始数据'!$D$35,'原始数据'!$D$107,'原始数据'!$D$179,'原始数据'!$D$251)</x:f>
        <x:v>4</x:v>
      </x:c>
      <x:c r="D35" s="54" t="n">
        <x:f>AVERAGE('原始数据'!$D$35,'原始数据'!$D$107,'原始数据'!$D$179,'原始数据'!$D$251)</x:f>
        <x:v>0.8903</x:v>
      </x:c>
      <x:c r="E35" s="54" t="n">
        <x:f>AVERAGE('原始数据'!$E$35,'原始数据'!$E$107,'原始数据'!$E$179,'原始数据'!$E$251)</x:f>
        <x:v>0.14937499999999998</x:v>
      </x:c>
      <x:c r="F35" s="57" t="n">
        <x:f>MIN('原始数据'!$D$35,'原始数据'!$D$107,'原始数据'!$D$179,'原始数据'!$D$251)</x:f>
        <x:v>0.8821</x:v>
      </x:c>
      <x:c r="G35" s="57" t="n">
        <x:f>MAX('原始数据'!$E$35,'原始数据'!$E$107,'原始数据'!$E$179,'原始数据'!$E$251)</x:f>
        <x:v>0.1572</x:v>
      </x:c>
      <x:c r="H35" s="60" t="n">
        <x:f>STDEV.P('原始数据'!$D$35,'原始数据'!$D$107,'原始数据'!$D$179,'原始数据'!$D$251)</x:f>
        <x:v>0.005297169055259627</x:v>
      </x:c>
      <x:c r="I35" s="63" t="n">
        <x:f>STDEV.P('原始数据'!$E$35,'原始数据'!$E$107,'原始数据'!$E$179,'原始数据'!$E$251)</x:f>
        <x:v>0.00596086193431789</x:v>
      </x:c>
    </x:row>
    <x:row r="36" ht="20" customHeight="1">
      <x:c r="A36" s="27" t="str">
        <x:v>CADE</x:v>
      </x:c>
      <x:c r="B36" s="30" t="str">
        <x:v>2015-08</x:v>
      </x:c>
      <x:c r="C36" s="51" t="n">
        <x:f>COUNT('原始数据'!$D$36,'原始数据'!$D$108,'原始数据'!$D$180,'原始数据'!$D$252)</x:f>
        <x:v>4</x:v>
      </x:c>
      <x:c r="D36" s="54" t="n">
        <x:f>AVERAGE('原始数据'!$D$36,'原始数据'!$D$108,'原始数据'!$D$180,'原始数据'!$D$252)</x:f>
        <x:v>0.927425</x:v>
      </x:c>
      <x:c r="E36" s="54" t="n">
        <x:f>AVERAGE('原始数据'!$E$36,'原始数据'!$E$108,'原始数据'!$E$180,'原始数据'!$E$252)</x:f>
        <x:v>0.08577499999999999</x:v>
      </x:c>
      <x:c r="F36" s="57" t="n">
        <x:f>MIN('原始数据'!$D$36,'原始数据'!$D$108,'原始数据'!$D$180,'原始数据'!$D$252)</x:f>
        <x:v>0.9171</x:v>
      </x:c>
      <x:c r="G36" s="57" t="n">
        <x:f>MAX('原始数据'!$E$36,'原始数据'!$E$108,'原始数据'!$E$180,'原始数据'!$E$252)</x:f>
        <x:v>0.1144</x:v>
      </x:c>
      <x:c r="H36" s="60" t="n">
        <x:f>STDEV.P('原始数据'!$D$36,'原始数据'!$D$108,'原始数据'!$D$180,'原始数据'!$D$252)</x:f>
        <x:v>0.01058994216225941</x:v>
      </x:c>
      <x:c r="I36" s="63" t="n">
        <x:f>STDEV.P('原始数据'!$E$36,'原始数据'!$E$108,'原始数据'!$E$180,'原始数据'!$E$252)</x:f>
        <x:v>0.018987676924784667</x:v>
      </x:c>
    </x:row>
    <x:row r="37" ht="20" customHeight="1">
      <x:c r="A37" s="27" t="str">
        <x:v>CADE</x:v>
      </x:c>
      <x:c r="B37" s="30" t="str">
        <x:v>2015-09</x:v>
      </x:c>
      <x:c r="C37" s="51" t="n">
        <x:f>COUNT('原始数据'!$D$37,'原始数据'!$D$109,'原始数据'!$D$181,'原始数据'!$D$253)</x:f>
        <x:v>4</x:v>
      </x:c>
      <x:c r="D37" s="54" t="n">
        <x:f>AVERAGE('原始数据'!$D$37,'原始数据'!$D$109,'原始数据'!$D$181,'原始数据'!$D$253)</x:f>
        <x:v>0.823575</x:v>
      </x:c>
      <x:c r="E37" s="54" t="n">
        <x:f>AVERAGE('原始数据'!$E$37,'原始数据'!$E$109,'原始数据'!$E$181,'原始数据'!$E$253)</x:f>
        <x:v>0.2464</x:v>
      </x:c>
      <x:c r="F37" s="57" t="n">
        <x:f>MIN('原始数据'!$D$37,'原始数据'!$D$109,'原始数据'!$D$181,'原始数据'!$D$253)</x:f>
        <x:v>0.8107</x:v>
      </x:c>
      <x:c r="G37" s="57" t="n">
        <x:f>MAX('原始数据'!$E$37,'原始数据'!$E$109,'原始数据'!$E$181,'原始数据'!$E$253)</x:f>
        <x:v>0.2801</x:v>
      </x:c>
      <x:c r="H37" s="60" t="n">
        <x:f>STDEV.P('原始数据'!$D$37,'原始数据'!$D$109,'原始数据'!$D$181,'原始数据'!$D$253)</x:f>
        <x:v>0.008964757386566598</x:v>
      </x:c>
      <x:c r="I37" s="63" t="n">
        <x:f>STDEV.P('原始数据'!$E$37,'原始数据'!$E$109,'原始数据'!$E$181,'原始数据'!$E$253)</x:f>
        <x:v>0.019749556957056033</x:v>
      </x:c>
    </x:row>
    <x:row r="38" ht="20" customHeight="1">
      <x:c r="A38" s="27" t="str">
        <x:v>CADE</x:v>
      </x:c>
      <x:c r="B38" s="30" t="str">
        <x:v>2015-10</x:v>
      </x:c>
      <x:c r="C38" s="51" t="n">
        <x:f>COUNT('原始数据'!$D$38,'原始数据'!$D$110,'原始数据'!$D$182,'原始数据'!$D$254)</x:f>
        <x:v>4</x:v>
      </x:c>
      <x:c r="D38" s="54" t="n">
        <x:f>AVERAGE('原始数据'!$D$38,'原始数据'!$D$110,'原始数据'!$D$182,'原始数据'!$D$254)</x:f>
        <x:v>0.8116</x:v>
      </x:c>
      <x:c r="E38" s="54" t="n">
        <x:f>AVERAGE('原始数据'!$E$38,'原始数据'!$E$110,'原始数据'!$E$182,'原始数据'!$E$254)</x:f>
        <x:v>0.2621</x:v>
      </x:c>
      <x:c r="F38" s="57" t="n">
        <x:f>MIN('原始数据'!$D$38,'原始数据'!$D$110,'原始数据'!$D$182,'原始数据'!$D$254)</x:f>
        <x:v>0.7935</x:v>
      </x:c>
      <x:c r="G38" s="57" t="n">
        <x:f>MAX('原始数据'!$E$38,'原始数据'!$E$110,'原始数据'!$E$182,'原始数据'!$E$254)</x:f>
        <x:v>0.2842</x:v>
      </x:c>
      <x:c r="H38" s="60" t="n">
        <x:f>STDEV.P('原始数据'!$D$38,'原始数据'!$D$110,'原始数据'!$D$182,'原始数据'!$D$254)</x:f>
        <x:v>0.013834196760202587</x:v>
      </x:c>
      <x:c r="I38" s="63" t="n">
        <x:f>STDEV.P('原始数据'!$E$38,'原始数据'!$E$110,'原始数据'!$E$182,'原始数据'!$E$254)</x:f>
        <x:v>0.013848646143215598</x:v>
      </x:c>
    </x:row>
    <x:row r="39" ht="20" customHeight="1">
      <x:c r="A39" s="27" t="str">
        <x:v>CADE</x:v>
      </x:c>
      <x:c r="B39" s="30" t="str">
        <x:v>2015-11</x:v>
      </x:c>
      <x:c r="C39" s="51" t="n">
        <x:f>COUNT('原始数据'!$D$39,'原始数据'!$D$111,'原始数据'!$D$183,'原始数据'!$D$255)</x:f>
        <x:v>4</x:v>
      </x:c>
      <x:c r="D39" s="54" t="n">
        <x:f>AVERAGE('原始数据'!$D$39,'原始数据'!$D$111,'原始数据'!$D$183,'原始数据'!$D$255)</x:f>
        <x:v>0.9043249999999999</x:v>
      </x:c>
      <x:c r="E39" s="54" t="n">
        <x:f>AVERAGE('原始数据'!$E$39,'原始数据'!$E$111,'原始数据'!$E$183,'原始数据'!$E$255)</x:f>
        <x:v>0.118825</x:v>
      </x:c>
      <x:c r="F39" s="57" t="n">
        <x:f>MIN('原始数据'!$D$39,'原始数据'!$D$111,'原始数据'!$D$183,'原始数据'!$D$255)</x:f>
        <x:v>0.8553</x:v>
      </x:c>
      <x:c r="G39" s="57" t="n">
        <x:f>MAX('原始数据'!$E$39,'原始数据'!$E$111,'原始数据'!$E$183,'原始数据'!$E$255)</x:f>
        <x:v>0.2008</x:v>
      </x:c>
      <x:c r="H39" s="60" t="n">
        <x:f>STDEV.P('原始数据'!$D$39,'原始数据'!$D$111,'原始数据'!$D$183,'原始数据'!$D$255)</x:f>
        <x:v>0.04124623467663442</x:v>
      </x:c>
      <x:c r="I39" s="63" t="n">
        <x:f>STDEV.P('原始数据'!$E$39,'原始数据'!$E$111,'原始数据'!$E$183,'原始数据'!$E$255)</x:f>
        <x:v>0.07594960088769394</x:v>
      </x:c>
    </x:row>
    <x:row r="40" ht="20" customHeight="1">
      <x:c r="A40" s="27" t="str">
        <x:v>CADE</x:v>
      </x:c>
      <x:c r="B40" s="30" t="str">
        <x:v>2015-12</x:v>
      </x:c>
      <x:c r="C40" s="51" t="n">
        <x:f>COUNT('原始数据'!$D$40,'原始数据'!$D$112,'原始数据'!$D$184,'原始数据'!$D$256)</x:f>
        <x:v>4</x:v>
      </x:c>
      <x:c r="D40" s="54" t="n">
        <x:f>AVERAGE('原始数据'!$D$40,'原始数据'!$D$112,'原始数据'!$D$184,'原始数据'!$D$256)</x:f>
        <x:v>0.9129</x:v>
      </x:c>
      <x:c r="E40" s="54" t="n">
        <x:f>AVERAGE('原始数据'!$E$40,'原始数据'!$E$112,'原始数据'!$E$184,'原始数据'!$E$256)</x:f>
        <x:v>0.09044999999999999</x:v>
      </x:c>
      <x:c r="F40" s="57" t="n">
        <x:f>MIN('原始数据'!$D$40,'原始数据'!$D$112,'原始数据'!$D$184,'原始数据'!$D$256)</x:f>
        <x:v>0.8863</x:v>
      </x:c>
      <x:c r="G40" s="57" t="n">
        <x:f>MAX('原始数据'!$E$40,'原始数据'!$E$112,'原始数据'!$E$184,'原始数据'!$E$256)</x:f>
        <x:v>0.1247</x:v>
      </x:c>
      <x:c r="H40" s="60" t="n">
        <x:f>STDEV.P('原始数据'!$D$40,'原始数据'!$D$112,'原始数据'!$D$184,'原始数据'!$D$256)</x:f>
        <x:v>0.02022226495721982</x:v>
      </x:c>
      <x:c r="I40" s="63" t="n">
        <x:f>STDEV.P('原始数据'!$E$40,'原始数据'!$E$112,'原始数据'!$E$184,'原始数据'!$E$256)</x:f>
        <x:v>0.03236591571391114</x:v>
      </x:c>
    </x:row>
    <x:row r="41" ht="20" customHeight="1">
      <x:c r="A41" s="27" t="str">
        <x:v>CADE</x:v>
      </x:c>
      <x:c r="B41" s="30" t="str">
        <x:v>2016-01</x:v>
      </x:c>
      <x:c r="C41" s="51" t="n">
        <x:f>COUNT('原始数据'!$D$41,'原始数据'!$D$113,'原始数据'!$D$185,'原始数据'!$D$257)</x:f>
        <x:v>4</x:v>
      </x:c>
      <x:c r="D41" s="54" t="n">
        <x:f>AVERAGE('原始数据'!$D$41,'原始数据'!$D$113,'原始数据'!$D$185,'原始数据'!$D$257)</x:f>
        <x:v>0.9055249999999999</x:v>
      </x:c>
      <x:c r="E41" s="54" t="n">
        <x:f>AVERAGE('原始数据'!$E$41,'原始数据'!$E$113,'原始数据'!$E$185,'原始数据'!$E$257)</x:f>
        <x:v>0.126725</x:v>
      </x:c>
      <x:c r="F41" s="57" t="n">
        <x:f>MIN('原始数据'!$D$41,'原始数据'!$D$113,'原始数据'!$D$185,'原始数据'!$D$257)</x:f>
        <x:v>0.8815</x:v>
      </x:c>
      <x:c r="G41" s="57" t="n">
        <x:f>MAX('原始数据'!$E$41,'原始数据'!$E$113,'原始数据'!$E$185,'原始数据'!$E$257)</x:f>
        <x:v>0.1468</x:v>
      </x:c>
      <x:c r="H41" s="60" t="n">
        <x:f>STDEV.P('原始数据'!$D$41,'原始数据'!$D$113,'原始数据'!$D$185,'原始数据'!$D$257)</x:f>
        <x:v>0.016096641730497713</x:v>
      </x:c>
      <x:c r="I41" s="63" t="n">
        <x:f>STDEV.P('原始数据'!$E$41,'原始数据'!$E$113,'原始数据'!$E$185,'原始数据'!$E$257)</x:f>
        <x:v>0.012904916698685044</x:v>
      </x:c>
    </x:row>
    <x:row r="42" ht="20" customHeight="1">
      <x:c r="A42" s="27" t="str">
        <x:v>CADE</x:v>
      </x:c>
      <x:c r="B42" s="30" t="str">
        <x:v>2016-02</x:v>
      </x:c>
      <x:c r="C42" s="51" t="n">
        <x:f>COUNT('原始数据'!$D$42,'原始数据'!$D$114,'原始数据'!$D$186,'原始数据'!$D$258)</x:f>
        <x:v>4</x:v>
      </x:c>
      <x:c r="D42" s="54" t="n">
        <x:f>AVERAGE('原始数据'!$D$42,'原始数据'!$D$114,'原始数据'!$D$186,'原始数据'!$D$258)</x:f>
        <x:v>0.922675</x:v>
      </x:c>
      <x:c r="E42" s="54" t="n">
        <x:f>AVERAGE('原始数据'!$E$42,'原始数据'!$E$114,'原始数据'!$E$186,'原始数据'!$E$258)</x:f>
        <x:v>0.06625</x:v>
      </x:c>
      <x:c r="F42" s="57" t="n">
        <x:f>MIN('原始数据'!$D$42,'原始数据'!$D$114,'原始数据'!$D$186,'原始数据'!$D$258)</x:f>
        <x:v>0.88</x:v>
      </x:c>
      <x:c r="G42" s="57" t="n">
        <x:f>MAX('原始数据'!$E$42,'原始数据'!$E$114,'原始数据'!$E$186,'原始数据'!$E$258)</x:f>
        <x:v>0.0876</x:v>
      </x:c>
      <x:c r="H42" s="60" t="n">
        <x:f>STDEV.P('原始数据'!$D$42,'原始数据'!$D$114,'原始数据'!$D$186,'原始数据'!$D$258)</x:f>
        <x:v>0.024794089517463626</x:v>
      </x:c>
      <x:c r="I42" s="63" t="n">
        <x:f>STDEV.P('原始数据'!$E$42,'原始数据'!$E$114,'原始数据'!$E$186,'原始数据'!$E$258)</x:f>
        <x:v>0.01338926809052683</x:v>
      </x:c>
    </x:row>
    <x:row r="43" ht="20" customHeight="1">
      <x:c r="A43" s="27" t="str">
        <x:v>CADE</x:v>
      </x:c>
      <x:c r="B43" s="30" t="str">
        <x:v>2016-03</x:v>
      </x:c>
      <x:c r="C43" s="51" t="n">
        <x:f>COUNT('原始数据'!$D$43,'原始数据'!$D$115,'原始数据'!$D$187,'原始数据'!$D$259)</x:f>
        <x:v>4</x:v>
      </x:c>
      <x:c r="D43" s="54" t="n">
        <x:f>AVERAGE('原始数据'!$D$43,'原始数据'!$D$115,'原始数据'!$D$187,'原始数据'!$D$259)</x:f>
        <x:v>0.9325000000000001</x:v>
      </x:c>
      <x:c r="E43" s="54" t="n">
        <x:f>AVERAGE('原始数据'!$E$43,'原始数据'!$E$115,'原始数据'!$E$187,'原始数据'!$E$259)</x:f>
        <x:v>0.050225</x:v>
      </x:c>
      <x:c r="F43" s="57" t="n">
        <x:f>MIN('原始数据'!$D$43,'原始数据'!$D$115,'原始数据'!$D$187,'原始数据'!$D$259)</x:f>
        <x:v>0.8922</x:v>
      </x:c>
      <x:c r="G43" s="57" t="n">
        <x:f>MAX('原始数据'!$E$43,'原始数据'!$E$115,'原始数据'!$E$187,'原始数据'!$E$259)</x:f>
        <x:v>0.0773</x:v>
      </x:c>
      <x:c r="H43" s="60" t="n">
        <x:f>STDEV.P('原始数据'!$D$43,'原始数据'!$D$115,'原始数据'!$D$187,'原始数据'!$D$259)</x:f>
        <x:v>0.02335754696024392</x:v>
      </x:c>
      <x:c r="I43" s="63" t="n">
        <x:f>STDEV.P('原始数据'!$E$43,'原始数据'!$E$115,'原始数据'!$E$187,'原始数据'!$E$259)</x:f>
        <x:v>0.01627534561845001</x:v>
      </x:c>
    </x:row>
    <x:row r="44" ht="20" customHeight="1">
      <x:c r="A44" s="27" t="str">
        <x:v>CADE</x:v>
      </x:c>
      <x:c r="B44" s="30" t="str">
        <x:v>2016-04</x:v>
      </x:c>
      <x:c r="C44" s="51" t="n">
        <x:f>COUNT('原始数据'!$D$44,'原始数据'!$D$116,'原始数据'!$D$188,'原始数据'!$D$260)</x:f>
        <x:v>4</x:v>
      </x:c>
      <x:c r="D44" s="54" t="n">
        <x:f>AVERAGE('原始数据'!$D$44,'原始数据'!$D$116,'原始数据'!$D$188,'原始数据'!$D$260)</x:f>
        <x:v>0.9061999999999999</x:v>
      </x:c>
      <x:c r="E44" s="54" t="n">
        <x:f>AVERAGE('原始数据'!$E$44,'原始数据'!$E$116,'原始数据'!$E$188,'原始数据'!$E$260)</x:f>
        <x:v>0.06595</x:v>
      </x:c>
      <x:c r="F44" s="57" t="n">
        <x:f>MIN('原始数据'!$D$44,'原始数据'!$D$116,'原始数据'!$D$188,'原始数据'!$D$260)</x:f>
        <x:v>0.8866</x:v>
      </x:c>
      <x:c r="G44" s="57" t="n">
        <x:f>MAX('原始数据'!$E$44,'原始数据'!$E$116,'原始数据'!$E$188,'原始数据'!$E$260)</x:f>
        <x:v>0.0856</x:v>
      </x:c>
      <x:c r="H44" s="60" t="n">
        <x:f>STDEV.P('原始数据'!$D$44,'原始数据'!$D$116,'原始数据'!$D$188,'原始数据'!$D$260)</x:f>
        <x:v>0.011862546101069509</x:v>
      </x:c>
      <x:c r="I44" s="63" t="n">
        <x:f>STDEV.P('原始数据'!$E$44,'原始数据'!$E$116,'原始数据'!$E$188,'原始数据'!$E$260)</x:f>
        <x:v>0.01352876564953359</x:v>
      </x:c>
    </x:row>
    <x:row r="45" ht="20" customHeight="1">
      <x:c r="A45" s="27" t="str">
        <x:v>CADE</x:v>
      </x:c>
      <x:c r="B45" s="30" t="str">
        <x:v>2016-05</x:v>
      </x:c>
      <x:c r="C45" s="51" t="n">
        <x:f>COUNT('原始数据'!$D$45,'原始数据'!$D$117,'原始数据'!$D$189,'原始数据'!$D$261)</x:f>
        <x:v>4</x:v>
      </x:c>
      <x:c r="D45" s="54" t="n">
        <x:f>AVERAGE('原始数据'!$D$45,'原始数据'!$D$117,'原始数据'!$D$189,'原始数据'!$D$261)</x:f>
        <x:v>0.929725</x:v>
      </x:c>
      <x:c r="E45" s="54" t="n">
        <x:f>AVERAGE('原始数据'!$E$45,'原始数据'!$E$117,'原始数据'!$E$189,'原始数据'!$E$261)</x:f>
        <x:v>0.07865</x:v>
      </x:c>
      <x:c r="F45" s="57" t="n">
        <x:f>MIN('原始数据'!$D$45,'原始数据'!$D$117,'原始数据'!$D$189,'原始数据'!$D$261)</x:f>
        <x:v>0.916</x:v>
      </x:c>
      <x:c r="G45" s="57" t="n">
        <x:f>MAX('原始数据'!$E$45,'原始数据'!$E$117,'原始数据'!$E$189,'原始数据'!$E$261)</x:f>
        <x:v>0.086</x:v>
      </x:c>
      <x:c r="H45" s="60" t="n">
        <x:f>STDEV.P('原始数据'!$D$45,'原始数据'!$D$117,'原始数据'!$D$189,'原始数据'!$D$261)</x:f>
        <x:v>0.010685124004895762</x:v>
      </x:c>
      <x:c r="I45" s="63" t="n">
        <x:f>STDEV.P('原始数据'!$E$45,'原始数据'!$E$117,'原始数据'!$E$189,'原始数据'!$E$261)</x:f>
        <x:v>0.006723280449304491</x:v>
      </x:c>
    </x:row>
    <x:row r="46" ht="20" customHeight="1">
      <x:c r="A46" s="27" t="str">
        <x:v>CADE</x:v>
      </x:c>
      <x:c r="B46" s="30" t="str">
        <x:v>2016-06</x:v>
      </x:c>
      <x:c r="C46" s="51" t="n">
        <x:f>COUNT('原始数据'!$D$46,'原始数据'!$D$118,'原始数据'!$D$190,'原始数据'!$D$262)</x:f>
        <x:v>4</x:v>
      </x:c>
      <x:c r="D46" s="54" t="n">
        <x:f>AVERAGE('原始数据'!$D$46,'原始数据'!$D$118,'原始数据'!$D$190,'原始数据'!$D$262)</x:f>
        <x:v>0.9256249999999999</x:v>
      </x:c>
      <x:c r="E46" s="54" t="n">
        <x:f>AVERAGE('原始数据'!$E$46,'原始数据'!$E$118,'原始数据'!$E$190,'原始数据'!$E$262)</x:f>
        <x:v>0.074175</x:v>
      </x:c>
      <x:c r="F46" s="57" t="n">
        <x:f>MIN('原始数据'!$D$46,'原始数据'!$D$118,'原始数据'!$D$190,'原始数据'!$D$262)</x:f>
        <x:v>0.9155</x:v>
      </x:c>
      <x:c r="G46" s="57" t="n">
        <x:f>MAX('原始数据'!$E$46,'原始数据'!$E$118,'原始数据'!$E$190,'原始数据'!$E$262)</x:f>
        <x:v>0.0793</x:v>
      </x:c>
      <x:c r="H46" s="60" t="n">
        <x:f>STDEV.P('原始数据'!$D$46,'原始数据'!$D$118,'原始数据'!$D$190,'原始数据'!$D$262)</x:f>
        <x:v>0.008187604961159273</x:v>
      </x:c>
      <x:c r="I46" s="63" t="n">
        <x:f>STDEV.P('原始数据'!$E$46,'原始数据'!$E$118,'原始数据'!$E$190,'原始数据'!$E$262)</x:f>
        <x:v>0.005491982793126722</x:v>
      </x:c>
    </x:row>
    <x:row r="47" ht="20" customHeight="1">
      <x:c r="A47" s="27" t="str">
        <x:v>CADE</x:v>
      </x:c>
      <x:c r="B47" s="30" t="str">
        <x:v>2016-07</x:v>
      </x:c>
      <x:c r="C47" s="51" t="n">
        <x:f>COUNT('原始数据'!$D$47,'原始数据'!$D$119,'原始数据'!$D$191,'原始数据'!$D$263)</x:f>
        <x:v>4</x:v>
      </x:c>
      <x:c r="D47" s="54" t="n">
        <x:f>AVERAGE('原始数据'!$D$47,'原始数据'!$D$119,'原始数据'!$D$191,'原始数据'!$D$263)</x:f>
        <x:v>0.92435</x:v>
      </x:c>
      <x:c r="E47" s="54" t="n">
        <x:f>AVERAGE('原始数据'!$E$47,'原始数据'!$E$119,'原始数据'!$E$191,'原始数据'!$E$263)</x:f>
        <x:v>0.065475</x:v>
      </x:c>
      <x:c r="F47" s="57" t="n">
        <x:f>MIN('原始数据'!$D$47,'原始数据'!$D$119,'原始数据'!$D$191,'原始数据'!$D$263)</x:f>
        <x:v>0.9091</x:v>
      </x:c>
      <x:c r="G47" s="57" t="n">
        <x:f>MAX('原始数据'!$E$47,'原始数据'!$E$119,'原始数据'!$E$191,'原始数据'!$E$263)</x:f>
        <x:v>0.0956</x:v>
      </x:c>
      <x:c r="H47" s="60" t="n">
        <x:f>STDEV.P('原始数据'!$D$47,'原始数据'!$D$119,'原始数据'!$D$191,'原始数据'!$D$263)</x:f>
        <x:v>0.010565154991764185</x:v>
      </x:c>
      <x:c r="I47" s="63" t="n">
        <x:f>STDEV.P('原始数据'!$E$47,'原始数据'!$E$119,'原始数据'!$E$191,'原始数据'!$E$263)</x:f>
        <x:v>0.02125480827953995</x:v>
      </x:c>
    </x:row>
    <x:row r="48" ht="20" customHeight="1">
      <x:c r="A48" s="27" t="str">
        <x:v>CADE</x:v>
      </x:c>
      <x:c r="B48" s="30" t="str">
        <x:v>2016-08</x:v>
      </x:c>
      <x:c r="C48" s="51" t="n">
        <x:f>COUNT('原始数据'!$D$48,'原始数据'!$D$120,'原始数据'!$D$192,'原始数据'!$D$264)</x:f>
        <x:v>4</x:v>
      </x:c>
      <x:c r="D48" s="54" t="n">
        <x:f>AVERAGE('原始数据'!$D$48,'原始数据'!$D$120,'原始数据'!$D$192,'原始数据'!$D$264)</x:f>
        <x:v>0.914025</x:v>
      </x:c>
      <x:c r="E48" s="54" t="n">
        <x:f>AVERAGE('原始数据'!$E$48,'原始数据'!$E$120,'原始数据'!$E$192,'原始数据'!$E$264)</x:f>
        <x:v>0.079975</x:v>
      </x:c>
      <x:c r="F48" s="57" t="n">
        <x:f>MIN('原始数据'!$D$48,'原始数据'!$D$120,'原始数据'!$D$192,'原始数据'!$D$264)</x:f>
        <x:v>0.8987</x:v>
      </x:c>
      <x:c r="G48" s="57" t="n">
        <x:f>MAX('原始数据'!$E$48,'原始数据'!$E$120,'原始数据'!$E$192,'原始数据'!$E$264)</x:f>
        <x:v>0.0986</x:v>
      </x:c>
      <x:c r="H48" s="60" t="n">
        <x:f>STDEV.P('原始数据'!$D$48,'原始数据'!$D$120,'原始数据'!$D$192,'原始数据'!$D$264)</x:f>
        <x:v>0.009279379020171532</x:v>
      </x:c>
      <x:c r="I48" s="63" t="n">
        <x:f>STDEV.P('原始数据'!$E$48,'原始数据'!$E$120,'原始数据'!$E$192,'原始数据'!$E$264)</x:f>
        <x:v>0.011603097646749333</x:v>
      </x:c>
    </x:row>
    <x:row r="49" ht="20" customHeight="1">
      <x:c r="A49" s="27" t="str">
        <x:v>CADE</x:v>
      </x:c>
      <x:c r="B49" s="30" t="str">
        <x:v>2016-09</x:v>
      </x:c>
      <x:c r="C49" s="51" t="n">
        <x:f>COUNT('原始数据'!$D$49,'原始数据'!$D$121,'原始数据'!$D$193,'原始数据'!$D$265)</x:f>
        <x:v>4</x:v>
      </x:c>
      <x:c r="D49" s="54" t="n">
        <x:f>AVERAGE('原始数据'!$D$49,'原始数据'!$D$121,'原始数据'!$D$193,'原始数据'!$D$265)</x:f>
        <x:v>0.9031250000000001</x:v>
      </x:c>
      <x:c r="E49" s="54" t="n">
        <x:f>AVERAGE('原始数据'!$E$49,'原始数据'!$E$121,'原始数据'!$E$193,'原始数据'!$E$265)</x:f>
        <x:v>0.11715</x:v>
      </x:c>
      <x:c r="F49" s="57" t="n">
        <x:f>MIN('原始数据'!$D$49,'原始数据'!$D$121,'原始数据'!$D$193,'原始数据'!$D$265)</x:f>
        <x:v>0.8809</x:v>
      </x:c>
      <x:c r="G49" s="57" t="n">
        <x:f>MAX('原始数据'!$E$49,'原始数据'!$E$121,'原始数据'!$E$193,'原始数据'!$E$265)</x:f>
        <x:v>0.1602</x:v>
      </x:c>
      <x:c r="H49" s="60" t="n">
        <x:f>STDEV.P('原始数据'!$D$49,'原始数据'!$D$121,'原始数据'!$D$193,'原始数据'!$D$265)</x:f>
        <x:v>0.015157898106267909</x:v>
      </x:c>
      <x:c r="I49" s="63" t="n">
        <x:f>STDEV.P('原始数据'!$E$49,'原始数据'!$E$121,'原始数据'!$E$193,'原始数据'!$E$265)</x:f>
        <x:v>0.025442238502144422</x:v>
      </x:c>
    </x:row>
    <x:row r="50" ht="20" customHeight="1">
      <x:c r="A50" s="27" t="str">
        <x:v>CADE</x:v>
      </x:c>
      <x:c r="B50" s="30" t="str">
        <x:v>2016-10</x:v>
      </x:c>
      <x:c r="C50" s="51" t="n">
        <x:f>COUNT('原始数据'!$D$50,'原始数据'!$D$122,'原始数据'!$D$194,'原始数据'!$D$266)</x:f>
        <x:v>4</x:v>
      </x:c>
      <x:c r="D50" s="54" t="n">
        <x:f>AVERAGE('原始数据'!$D$50,'原始数据'!$D$122,'原始数据'!$D$194,'原始数据'!$D$266)</x:f>
        <x:v>0.892575</x:v>
      </x:c>
      <x:c r="E50" s="54" t="n">
        <x:f>AVERAGE('原始数据'!$E$50,'原始数据'!$E$122,'原始数据'!$E$194,'原始数据'!$E$266)</x:f>
        <x:v>0.06505</x:v>
      </x:c>
      <x:c r="F50" s="57" t="n">
        <x:f>MIN('原始数据'!$D$50,'原始数据'!$D$122,'原始数据'!$D$194,'原始数据'!$D$266)</x:f>
        <x:v>0.8628</x:v>
      </x:c>
      <x:c r="G50" s="57" t="n">
        <x:f>MAX('原始数据'!$E$50,'原始数据'!$E$122,'原始数据'!$E$194,'原始数据'!$E$266)</x:f>
        <x:v>0.1118</x:v>
      </x:c>
      <x:c r="H50" s="60" t="n">
        <x:f>STDEV.P('原始数据'!$D$50,'原始数据'!$D$122,'原始数据'!$D$194,'原始数据'!$D$266)</x:f>
        <x:v>0.025531585830104654</x:v>
      </x:c>
      <x:c r="I50" s="63" t="n">
        <x:f>STDEV.P('原始数据'!$E$50,'原始数据'!$E$122,'原始数据'!$E$194,'原始数据'!$E$266)</x:f>
        <x:v>0.03010186871275602</x:v>
      </x:c>
    </x:row>
    <x:row r="51" ht="20" customHeight="1">
      <x:c r="A51" s="27" t="str">
        <x:v>CADE</x:v>
      </x:c>
      <x:c r="B51" s="30" t="str">
        <x:v>2016-11</x:v>
      </x:c>
      <x:c r="C51" s="51" t="n">
        <x:f>COUNT('原始数据'!$D$51,'原始数据'!$D$123,'原始数据'!$D$195,'原始数据'!$D$267)</x:f>
        <x:v>4</x:v>
      </x:c>
      <x:c r="D51" s="54" t="n">
        <x:f>AVERAGE('原始数据'!$D$51,'原始数据'!$D$123,'原始数据'!$D$195,'原始数据'!$D$267)</x:f>
        <x:v>0.8775499999999999</x:v>
      </x:c>
      <x:c r="E51" s="54" t="n">
        <x:f>AVERAGE('原始数据'!$E$51,'原始数据'!$E$123,'原始数据'!$E$195,'原始数据'!$E$267)</x:f>
        <x:v>0.12725</x:v>
      </x:c>
      <x:c r="F51" s="57" t="n">
        <x:f>MIN('原始数据'!$D$51,'原始数据'!$D$123,'原始数据'!$D$195,'原始数据'!$D$267)</x:f>
        <x:v>0.7664</x:v>
      </x:c>
      <x:c r="G51" s="57" t="n">
        <x:f>MAX('原始数据'!$E$51,'原始数据'!$E$123,'原始数据'!$E$195,'原始数据'!$E$267)</x:f>
        <x:v>0.2939</x:v>
      </x:c>
      <x:c r="H51" s="60" t="n">
        <x:f>STDEV.P('原始数据'!$D$51,'原始数据'!$D$123,'原始数据'!$D$195,'原始数据'!$D$267)</x:f>
        <x:v>0.06675943753507814</x:v>
      </x:c>
      <x:c r="I51" s="63" t="n">
        <x:f>STDEV.P('原始数据'!$E$51,'原始数据'!$E$123,'原始数据'!$E$195,'原始数据'!$E$267)</x:f>
        <x:v>0.09693929801685176</x:v>
      </x:c>
    </x:row>
    <x:row r="52" ht="20" customHeight="1">
      <x:c r="A52" s="27" t="str">
        <x:v>CADE</x:v>
      </x:c>
      <x:c r="B52" s="30" t="str">
        <x:v>2016-12</x:v>
      </x:c>
      <x:c r="C52" s="51" t="n">
        <x:f>COUNT('原始数据'!$D$52,'原始数据'!$D$124,'原始数据'!$D$196,'原始数据'!$D$268)</x:f>
        <x:v>4</x:v>
      </x:c>
      <x:c r="D52" s="54" t="n">
        <x:f>AVERAGE('原始数据'!$D$52,'原始数据'!$D$124,'原始数据'!$D$196,'原始数据'!$D$268)</x:f>
        <x:v>0.8597</x:v>
      </x:c>
      <x:c r="E52" s="54" t="n">
        <x:f>AVERAGE('原始数据'!$E$52,'原始数据'!$E$124,'原始数据'!$E$196,'原始数据'!$E$268)</x:f>
        <x:v>0.187275</x:v>
      </x:c>
      <x:c r="F52" s="57" t="n">
        <x:f>MIN('原始数据'!$D$52,'原始数据'!$D$124,'原始数据'!$D$196,'原始数据'!$D$268)</x:f>
        <x:v>0.8262</x:v>
      </x:c>
      <x:c r="G52" s="57" t="n">
        <x:f>MAX('原始数据'!$E$52,'原始数据'!$E$124,'原始数据'!$E$196,'原始数据'!$E$268)</x:f>
        <x:v>0.241</x:v>
      </x:c>
      <x:c r="H52" s="60" t="n">
        <x:f>STDEV.P('原始数据'!$D$52,'原始数据'!$D$124,'原始数据'!$D$196,'原始数据'!$D$268)</x:f>
        <x:v>0.03706635941119656</x:v>
      </x:c>
      <x:c r="I52" s="63" t="n">
        <x:f>STDEV.P('原始数据'!$E$52,'原始数据'!$E$124,'原始数据'!$E$196,'原始数据'!$E$268)</x:f>
        <x:v>0.05884672357064579</x:v>
      </x:c>
    </x:row>
    <x:row r="53" ht="20" customHeight="1">
      <x:c r="A53" s="27" t="str">
        <x:v>CADE</x:v>
      </x:c>
      <x:c r="B53" s="30" t="str">
        <x:v>2017-01</x:v>
      </x:c>
      <x:c r="C53" s="51" t="n">
        <x:f>COUNT('原始数据'!$D$53,'原始数据'!$D$125,'原始数据'!$D$197,'原始数据'!$D$269)</x:f>
        <x:v>4</x:v>
      </x:c>
      <x:c r="D53" s="54" t="n">
        <x:f>AVERAGE('原始数据'!$D$53,'原始数据'!$D$125,'原始数据'!$D$197,'原始数据'!$D$269)</x:f>
        <x:v>0.8948750000000001</x:v>
      </x:c>
      <x:c r="E53" s="54" t="n">
        <x:f>AVERAGE('原始数据'!$E$53,'原始数据'!$E$125,'原始数据'!$E$197,'原始数据'!$E$269)</x:f>
        <x:v>0.1047</x:v>
      </x:c>
      <x:c r="F53" s="57" t="n">
        <x:f>MIN('原始数据'!$D$53,'原始数据'!$D$125,'原始数据'!$D$197,'原始数据'!$D$269)</x:f>
        <x:v>0.8819</x:v>
      </x:c>
      <x:c r="G53" s="57" t="n">
        <x:f>MAX('原始数据'!$E$53,'原始数据'!$E$125,'原始数据'!$E$197,'原始数据'!$E$269)</x:f>
        <x:v>0.125</x:v>
      </x:c>
      <x:c r="H53" s="60" t="n">
        <x:f>STDEV.P('原始数据'!$D$53,'原始数据'!$D$125,'原始数据'!$D$197,'原始数据'!$D$269)</x:f>
        <x:v>0.009821246102201099</x:v>
      </x:c>
      <x:c r="I53" s="63" t="n">
        <x:f>STDEV.P('原始数据'!$E$53,'原始数据'!$E$125,'原始数据'!$E$197,'原始数据'!$E$269)</x:f>
        <x:v>0.01784978991473009</x:v>
      </x:c>
    </x:row>
    <x:row r="54" ht="20" customHeight="1">
      <x:c r="A54" s="27" t="str">
        <x:v>CADE</x:v>
      </x:c>
      <x:c r="B54" s="30" t="str">
        <x:v>2017-02</x:v>
      </x:c>
      <x:c r="C54" s="51" t="n">
        <x:f>COUNT('原始数据'!$D$54,'原始数据'!$D$126,'原始数据'!$D$198,'原始数据'!$D$270)</x:f>
        <x:v>4</x:v>
      </x:c>
      <x:c r="D54" s="54" t="n">
        <x:f>AVERAGE('原始数据'!$D$54,'原始数据'!$D$126,'原始数据'!$D$198,'原始数据'!$D$270)</x:f>
        <x:v>0.927775</x:v>
      </x:c>
      <x:c r="E54" s="54" t="n">
        <x:f>AVERAGE('原始数据'!$E$54,'原始数据'!$E$126,'原始数据'!$E$198,'原始数据'!$E$270)</x:f>
        <x:v>0.07877500000000001</x:v>
      </x:c>
      <x:c r="F54" s="57" t="n">
        <x:f>MIN('原始数据'!$D$54,'原始数据'!$D$126,'原始数据'!$D$198,'原始数据'!$D$270)</x:f>
        <x:v>0.9061</x:v>
      </x:c>
      <x:c r="G54" s="57" t="n">
        <x:f>MAX('原始数据'!$E$54,'原始数据'!$E$126,'原始数据'!$E$198,'原始数据'!$E$270)</x:f>
        <x:v>0.1087</x:v>
      </x:c>
      <x:c r="H54" s="60" t="n">
        <x:f>STDEV.P('原始数据'!$D$54,'原始数据'!$D$126,'原始数据'!$D$198,'原始数据'!$D$270)</x:f>
        <x:v>0.01674878726953088</x:v>
      </x:c>
      <x:c r="I54" s="63" t="n">
        <x:f>STDEV.P('原始数据'!$E$54,'原始数据'!$E$126,'原始数据'!$E$198,'原始数据'!$E$270)</x:f>
        <x:v>0.02026220311318589</x:v>
      </x:c>
    </x:row>
    <x:row r="55" ht="20" customHeight="1">
      <x:c r="A55" s="27" t="str">
        <x:v>CADE</x:v>
      </x:c>
      <x:c r="B55" s="30" t="str">
        <x:v>2017-03</x:v>
      </x:c>
      <x:c r="C55" s="51" t="n">
        <x:f>COUNT('原始数据'!$D$55,'原始数据'!$D$127,'原始数据'!$D$199,'原始数据'!$D$271)</x:f>
        <x:v>4</x:v>
      </x:c>
      <x:c r="D55" s="54" t="n">
        <x:f>AVERAGE('原始数据'!$D$55,'原始数据'!$D$127,'原始数据'!$D$199,'原始数据'!$D$271)</x:f>
        <x:v>0.862575</x:v>
      </x:c>
      <x:c r="E55" s="54" t="n">
        <x:f>AVERAGE('原始数据'!$E$55,'原始数据'!$E$127,'原始数据'!$E$199,'原始数据'!$E$271)</x:f>
        <x:v>0.133275</x:v>
      </x:c>
      <x:c r="F55" s="57" t="n">
        <x:f>MIN('原始数据'!$D$55,'原始数据'!$D$127,'原始数据'!$D$199,'原始数据'!$D$271)</x:f>
        <x:v>0.8387</x:v>
      </x:c>
      <x:c r="G55" s="57" t="n">
        <x:f>MAX('原始数据'!$E$55,'原始数据'!$E$127,'原始数据'!$E$199,'原始数据'!$E$271)</x:f>
        <x:v>0.1777</x:v>
      </x:c>
      <x:c r="H55" s="60" t="n">
        <x:f>STDEV.P('原始数据'!$D$55,'原始数据'!$D$127,'原始数据'!$D$199,'原始数据'!$D$271)</x:f>
        <x:v>0.018923976194235696</x:v>
      </x:c>
      <x:c r="I55" s="63" t="n">
        <x:f>STDEV.P('原始数据'!$E$55,'原始数据'!$E$127,'原始数据'!$E$199,'原始数据'!$E$271)</x:f>
        <x:v>0.030947728107245612</x:v>
      </x:c>
    </x:row>
    <x:row r="56" ht="20" customHeight="1">
      <x:c r="A56" s="27" t="str">
        <x:v>CADE</x:v>
      </x:c>
      <x:c r="B56" s="30" t="str">
        <x:v>2017-04</x:v>
      </x:c>
      <x:c r="C56" s="51" t="n">
        <x:f>COUNT('原始数据'!$D$56,'原始数据'!$D$128,'原始数据'!$D$200,'原始数据'!$D$272)</x:f>
        <x:v>4</x:v>
      </x:c>
      <x:c r="D56" s="54" t="n">
        <x:f>AVERAGE('原始数据'!$D$56,'原始数据'!$D$128,'原始数据'!$D$200,'原始数据'!$D$272)</x:f>
        <x:v>0.8434</x:v>
      </x:c>
      <x:c r="E56" s="54" t="n">
        <x:f>AVERAGE('原始数据'!$E$56,'原始数据'!$E$128,'原始数据'!$E$200,'原始数据'!$E$272)</x:f>
        <x:v>0.20485</x:v>
      </x:c>
      <x:c r="F56" s="57" t="n">
        <x:f>MIN('原始数据'!$D$56,'原始数据'!$D$128,'原始数据'!$D$200,'原始数据'!$D$272)</x:f>
        <x:v>0.8043</x:v>
      </x:c>
      <x:c r="G56" s="57" t="n">
        <x:f>MAX('原始数据'!$E$56,'原始数据'!$E$128,'原始数据'!$E$200,'原始数据'!$E$272)</x:f>
        <x:v>0.271</x:v>
      </x:c>
      <x:c r="H56" s="60" t="n">
        <x:f>STDEV.P('原始数据'!$D$56,'原始数据'!$D$128,'原始数据'!$D$200,'原始数据'!$D$272)</x:f>
        <x:v>0.02989540098409786</x:v>
      </x:c>
      <x:c r="I56" s="63" t="n">
        <x:f>STDEV.P('原始数据'!$E$56,'原始数据'!$E$128,'原始数据'!$E$200,'原始数据'!$E$272)</x:f>
        <x:v>0.050489033462723376</x:v>
      </x:c>
    </x:row>
    <x:row r="57" ht="20" customHeight="1">
      <x:c r="A57" s="27" t="str">
        <x:v>CADE</x:v>
      </x:c>
      <x:c r="B57" s="30" t="str">
        <x:v>2017-05</x:v>
      </x:c>
      <x:c r="C57" s="51" t="n">
        <x:f>COUNT('原始数据'!$D$57,'原始数据'!$D$129,'原始数据'!$D$201,'原始数据'!$D$273)</x:f>
        <x:v>4</x:v>
      </x:c>
      <x:c r="D57" s="54" t="n">
        <x:f>AVERAGE('原始数据'!$D$57,'原始数据'!$D$129,'原始数据'!$D$201,'原始数据'!$D$273)</x:f>
        <x:v>0.87615</x:v>
      </x:c>
      <x:c r="E57" s="54" t="n">
        <x:f>AVERAGE('原始数据'!$E$57,'原始数据'!$E$129,'原始数据'!$E$201,'原始数据'!$E$273)</x:f>
        <x:v>0.17675</x:v>
      </x:c>
      <x:c r="F57" s="57" t="n">
        <x:f>MIN('原始数据'!$D$57,'原始数据'!$D$129,'原始数据'!$D$201,'原始数据'!$D$273)</x:f>
        <x:v>0.8602</x:v>
      </x:c>
      <x:c r="G57" s="57" t="n">
        <x:f>MAX('原始数据'!$E$57,'原始数据'!$E$129,'原始数据'!$E$201,'原始数据'!$E$273)</x:f>
        <x:v>0.1919</x:v>
      </x:c>
      <x:c r="H57" s="60" t="n">
        <x:f>STDEV.P('原始数据'!$D$57,'原始数据'!$D$129,'原始数据'!$D$201,'原始数据'!$D$273)</x:f>
        <x:v>0.014946989663474039</x:v>
      </x:c>
      <x:c r="I57" s="63" t="n">
        <x:f>STDEV.P('原始数据'!$E$57,'原始数据'!$E$129,'原始数据'!$E$201,'原始数据'!$E$273)</x:f>
        <x:v>0.026240569734668484</x:v>
      </x:c>
    </x:row>
    <x:row r="58" ht="20" customHeight="1">
      <x:c r="A58" s="27" t="str">
        <x:v>CADE</x:v>
      </x:c>
      <x:c r="B58" s="30" t="str">
        <x:v>2017-06</x:v>
      </x:c>
      <x:c r="C58" s="51" t="n">
        <x:f>COUNT('原始数据'!$D$58,'原始数据'!$D$130,'原始数据'!$D$202,'原始数据'!$D$274)</x:f>
        <x:v>4</x:v>
      </x:c>
      <x:c r="D58" s="54" t="n">
        <x:f>AVERAGE('原始数据'!$D$58,'原始数据'!$D$130,'原始数据'!$D$202,'原始数据'!$D$274)</x:f>
        <x:v>0.8360000000000001</x:v>
      </x:c>
      <x:c r="E58" s="54" t="n">
        <x:f>AVERAGE('原始数据'!$E$58,'原始数据'!$E$130,'原始数据'!$E$202,'原始数据'!$E$274)</x:f>
        <x:v>0.223425</x:v>
      </x:c>
      <x:c r="F58" s="57" t="n">
        <x:f>MIN('原始数据'!$D$58,'原始数据'!$D$130,'原始数据'!$D$202,'原始数据'!$D$274)</x:f>
        <x:v>0.7716</x:v>
      </x:c>
      <x:c r="G58" s="57" t="n">
        <x:f>MAX('原始数据'!$E$58,'原始数据'!$E$130,'原始数据'!$E$202,'原始数据'!$E$274)</x:f>
        <x:v>0.3274</x:v>
      </x:c>
      <x:c r="H58" s="60" t="n">
        <x:f>STDEV.P('原始数据'!$D$58,'原始数据'!$D$130,'原始数据'!$D$202,'原始数据'!$D$274)</x:f>
        <x:v>0.051812401990257134</x:v>
      </x:c>
      <x:c r="I58" s="63" t="n">
        <x:f>STDEV.P('原始数据'!$E$58,'原始数据'!$E$130,'原始数据'!$E$202,'原始数据'!$E$274)</x:f>
        <x:v>0.08990279125255234</x:v>
      </x:c>
    </x:row>
    <x:row r="59" ht="20" customHeight="1">
      <x:c r="A59" s="27" t="str">
        <x:v>CADE</x:v>
      </x:c>
      <x:c r="B59" s="30" t="str">
        <x:v>2017-07</x:v>
      </x:c>
      <x:c r="C59" s="51" t="n">
        <x:f>COUNT('原始数据'!$D$59,'原始数据'!$D$131,'原始数据'!$D$203,'原始数据'!$D$275)</x:f>
        <x:v>4</x:v>
      </x:c>
      <x:c r="D59" s="54" t="n">
        <x:f>AVERAGE('原始数据'!$D$59,'原始数据'!$D$131,'原始数据'!$D$203,'原始数据'!$D$275)</x:f>
        <x:v>0.8938</x:v>
      </x:c>
      <x:c r="E59" s="54" t="n">
        <x:f>AVERAGE('原始数据'!$E$59,'原始数据'!$E$131,'原始数据'!$E$203,'原始数据'!$E$275)</x:f>
        <x:v>0.105625</x:v>
      </x:c>
      <x:c r="F59" s="57" t="n">
        <x:f>MIN('原始数据'!$D$59,'原始数据'!$D$131,'原始数据'!$D$203,'原始数据'!$D$275)</x:f>
        <x:v>0.8836</x:v>
      </x:c>
      <x:c r="G59" s="57" t="n">
        <x:f>MAX('原始数据'!$E$59,'原始数据'!$E$131,'原始数据'!$E$203,'原始数据'!$E$275)</x:f>
        <x:v>0.1176</x:v>
      </x:c>
      <x:c r="H59" s="60" t="n">
        <x:f>STDEV.P('原始数据'!$D$59,'原始数据'!$D$131,'原始数据'!$D$203,'原始数据'!$D$275)</x:f>
        <x:v>0.007860343503944345</x:v>
      </x:c>
      <x:c r="I59" s="63" t="n">
        <x:f>STDEV.P('原始数据'!$E$59,'原始数据'!$E$131,'原始数据'!$E$203,'原始数据'!$E$275)</x:f>
        <x:v>0.012153677427017718</x:v>
      </x:c>
    </x:row>
    <x:row r="60" ht="20" customHeight="1">
      <x:c r="A60" s="27" t="str">
        <x:v>CADE</x:v>
      </x:c>
      <x:c r="B60" s="30" t="str">
        <x:v>2017-08</x:v>
      </x:c>
      <x:c r="C60" s="51" t="n">
        <x:f>COUNT('原始数据'!$D$60,'原始数据'!$D$132,'原始数据'!$D$204,'原始数据'!$D$276)</x:f>
        <x:v>4</x:v>
      </x:c>
      <x:c r="D60" s="54" t="n">
        <x:f>AVERAGE('原始数据'!$D$60,'原始数据'!$D$132,'原始数据'!$D$204,'原始数据'!$D$276)</x:f>
        <x:v>0.9278500000000001</x:v>
      </x:c>
      <x:c r="E60" s="54" t="n">
        <x:f>AVERAGE('原始数据'!$E$60,'原始数据'!$E$132,'原始数据'!$E$204,'原始数据'!$E$276)</x:f>
        <x:v>0.055775000000000005</x:v>
      </x:c>
      <x:c r="F60" s="57" t="n">
        <x:f>MIN('原始数据'!$D$60,'原始数据'!$D$132,'原始数据'!$D$204,'原始数据'!$D$276)</x:f>
        <x:v>0.9216</x:v>
      </x:c>
      <x:c r="G60" s="57" t="n">
        <x:f>MAX('原始数据'!$E$60,'原始数据'!$E$132,'原始数据'!$E$204,'原始数据'!$E$276)</x:f>
        <x:v>0.0676</x:v>
      </x:c>
      <x:c r="H60" s="60" t="n">
        <x:f>STDEV.P('原始数据'!$D$60,'原始数据'!$D$132,'原始数据'!$D$204,'原始数据'!$D$276)</x:f>
        <x:v>0.00472255227604734</x:v>
      </x:c>
      <x:c r="I60" s="63" t="n">
        <x:f>STDEV.P('原始数据'!$E$60,'原始数据'!$E$132,'原始数据'!$E$204,'原始数据'!$E$276)</x:f>
        <x:v>0.007369998303934673</x:v>
      </x:c>
    </x:row>
    <x:row r="61" ht="20" customHeight="1">
      <x:c r="A61" s="27" t="str">
        <x:v>CADE</x:v>
      </x:c>
      <x:c r="B61" s="30" t="str">
        <x:v>2017-09</x:v>
      </x:c>
      <x:c r="C61" s="51" t="n">
        <x:f>COUNT('原始数据'!$D$61,'原始数据'!$D$133,'原始数据'!$D$205,'原始数据'!$D$277)</x:f>
        <x:v>4</x:v>
      </x:c>
      <x:c r="D61" s="54" t="n">
        <x:f>AVERAGE('原始数据'!$D$61,'原始数据'!$D$133,'原始数据'!$D$205,'原始数据'!$D$277)</x:f>
        <x:v>0.90845</x:v>
      </x:c>
      <x:c r="E61" s="54" t="n">
        <x:f>AVERAGE('原始数据'!$E$61,'原始数据'!$E$133,'原始数据'!$E$205,'原始数据'!$E$277)</x:f>
        <x:v>0.052525</x:v>
      </x:c>
      <x:c r="F61" s="57" t="n">
        <x:f>MIN('原始数据'!$D$61,'原始数据'!$D$133,'原始数据'!$D$205,'原始数据'!$D$277)</x:f>
        <x:v>0.8978</x:v>
      </x:c>
      <x:c r="G61" s="57" t="n">
        <x:f>MAX('原始数据'!$E$61,'原始数据'!$E$133,'原始数据'!$E$205,'原始数据'!$E$277)</x:f>
        <x:v>0.0764</x:v>
      </x:c>
      <x:c r="H61" s="60" t="n">
        <x:f>STDEV.P('原始数据'!$D$61,'原始数据'!$D$133,'原始数据'!$D$205,'原始数据'!$D$277)</x:f>
        <x:v>0.01390584409519969</x:v>
      </x:c>
      <x:c r="I61" s="63" t="n">
        <x:f>STDEV.P('原始数据'!$E$61,'原始数据'!$E$133,'原始数据'!$E$205,'原始数据'!$E$277)</x:f>
        <x:v>0.018232028822925878</x:v>
      </x:c>
    </x:row>
    <x:row r="62" ht="20" customHeight="1">
      <x:c r="A62" s="27" t="str">
        <x:v>CADE</x:v>
      </x:c>
      <x:c r="B62" s="30" t="str">
        <x:v>2017-10</x:v>
      </x:c>
      <x:c r="C62" s="51" t="n">
        <x:f>COUNT('原始数据'!$D$62,'原始数据'!$D$134,'原始数据'!$D$206,'原始数据'!$D$278)</x:f>
        <x:v>4</x:v>
      </x:c>
      <x:c r="D62" s="54" t="n">
        <x:f>AVERAGE('原始数据'!$D$62,'原始数据'!$D$134,'原始数据'!$D$206,'原始数据'!$D$278)</x:f>
        <x:v>0.9091750000000001</x:v>
      </x:c>
      <x:c r="E62" s="54" t="n">
        <x:f>AVERAGE('原始数据'!$E$62,'原始数据'!$E$134,'原始数据'!$E$206,'原始数据'!$E$278)</x:f>
        <x:v>0.108575</x:v>
      </x:c>
      <x:c r="F62" s="57" t="n">
        <x:f>MIN('原始数据'!$D$62,'原始数据'!$D$134,'原始数据'!$D$206,'原始数据'!$D$278)</x:f>
        <x:v>0.8889</x:v>
      </x:c>
      <x:c r="G62" s="57" t="n">
        <x:f>MAX('原始数据'!$E$62,'原始数据'!$E$134,'原始数据'!$E$206,'原始数据'!$E$278)</x:f>
        <x:v>0.1131</x:v>
      </x:c>
      <x:c r="H62" s="60" t="n">
        <x:f>STDEV.P('原始数据'!$D$62,'原始数据'!$D$134,'原始数据'!$D$206,'原始数据'!$D$278)</x:f>
        <x:v>0.012562916659756998</x:v>
      </x:c>
      <x:c r="I62" s="63" t="n">
        <x:f>STDEV.P('原始数据'!$E$62,'原始数据'!$E$134,'原始数据'!$E$206,'原始数据'!$E$278)</x:f>
        <x:v>0.007837529904249171</x:v>
      </x:c>
    </x:row>
    <x:row r="63" ht="20" customHeight="1">
      <x:c r="A63" s="27" t="str">
        <x:v>CADE</x:v>
      </x:c>
      <x:c r="B63" s="30" t="str">
        <x:v>2017-11</x:v>
      </x:c>
      <x:c r="C63" s="51" t="n">
        <x:f>COUNT('原始数据'!$D$63,'原始数据'!$D$135,'原始数据'!$D$207,'原始数据'!$D$279)</x:f>
        <x:v>4</x:v>
      </x:c>
      <x:c r="D63" s="54" t="n">
        <x:f>AVERAGE('原始数据'!$D$63,'原始数据'!$D$135,'原始数据'!$D$207,'原始数据'!$D$279)</x:f>
        <x:v>0.893425</x:v>
      </x:c>
      <x:c r="E63" s="54" t="n">
        <x:f>AVERAGE('原始数据'!$E$63,'原始数据'!$E$135,'原始数据'!$E$207,'原始数据'!$E$279)</x:f>
        <x:v>0.09239999999999998</x:v>
      </x:c>
      <x:c r="F63" s="57" t="n">
        <x:f>MIN('原始数据'!$D$63,'原始数据'!$D$135,'原始数据'!$D$207,'原始数据'!$D$279)</x:f>
        <x:v>0.866</x:v>
      </x:c>
      <x:c r="G63" s="57" t="n">
        <x:f>MAX('原始数据'!$E$63,'原始数据'!$E$135,'原始数据'!$E$207,'原始数据'!$E$279)</x:f>
        <x:v>0.0978</x:v>
      </x:c>
      <x:c r="H63" s="60" t="n">
        <x:f>STDEV.P('原始数据'!$D$63,'原始数据'!$D$135,'原始数据'!$D$207,'原始数据'!$D$279)</x:f>
        <x:v>0.017415277057801878</x:v>
      </x:c>
      <x:c r="I63" s="63" t="n">
        <x:f>STDEV.P('原始数据'!$E$63,'原始数据'!$E$135,'原始数据'!$E$207,'原始数据'!$E$279)</x:f>
        <x:v>0.005400000000000002</x:v>
      </x:c>
    </x:row>
    <x:row r="64" ht="20" customHeight="1">
      <x:c r="A64" s="27" t="str">
        <x:v>CADE</x:v>
      </x:c>
      <x:c r="B64" s="30" t="str">
        <x:v>2017-12</x:v>
      </x:c>
      <x:c r="C64" s="51" t="n">
        <x:f>COUNT('原始数据'!$D$64,'原始数据'!$D$136,'原始数据'!$D$208,'原始数据'!$D$280)</x:f>
        <x:v>4</x:v>
      </x:c>
      <x:c r="D64" s="54" t="n">
        <x:f>AVERAGE('原始数据'!$D$64,'原始数据'!$D$136,'原始数据'!$D$208,'原始数据'!$D$280)</x:f>
        <x:v>0.8833500000000001</x:v>
      </x:c>
      <x:c r="E64" s="54" t="n">
        <x:f>AVERAGE('原始数据'!$E$64,'原始数据'!$E$136,'原始数据'!$E$208,'原始数据'!$E$280)</x:f>
        <x:v>0.034</x:v>
      </x:c>
      <x:c r="F64" s="57" t="n">
        <x:f>MIN('原始数据'!$D$64,'原始数据'!$D$136,'原始数据'!$D$208,'原始数据'!$D$280)</x:f>
        <x:v>0.8612</x:v>
      </x:c>
      <x:c r="G64" s="57" t="n">
        <x:f>MAX('原始数据'!$E$64,'原始数据'!$E$136,'原始数据'!$E$208,'原始数据'!$E$280)</x:f>
        <x:v>0.04</x:v>
      </x:c>
      <x:c r="H64" s="60" t="n">
        <x:f>STDEV.P('原始数据'!$D$64,'原始数据'!$D$136,'原始数据'!$D$208,'原始数据'!$D$280)</x:f>
        <x:v>0.016381162962378463</x:v>
      </x:c>
      <x:c r="I64" s="63" t="n">
        <x:f>STDEV.P('原始数据'!$E$64,'原始数据'!$E$136,'原始数据'!$E$208,'原始数据'!$E$280)</x:f>
        <x:v>0.0034641016151377548</x:v>
      </x:c>
    </x:row>
    <x:row r="65" ht="20" customHeight="1">
      <x:c r="A65" s="27" t="str">
        <x:v>CADE</x:v>
      </x:c>
      <x:c r="B65" s="30" t="str">
        <x:v>2018-01</x:v>
      </x:c>
      <x:c r="C65" s="51" t="n">
        <x:f>COUNT('原始数据'!$D$65,'原始数据'!$D$137,'原始数据'!$D$209,'原始数据'!$D$281)</x:f>
        <x:v>4</x:v>
      </x:c>
      <x:c r="D65" s="54" t="n">
        <x:f>AVERAGE('原始数据'!$D$65,'原始数据'!$D$137,'原始数据'!$D$209,'原始数据'!$D$281)</x:f>
        <x:v>0.88685</x:v>
      </x:c>
      <x:c r="E65" s="54" t="n">
        <x:f>AVERAGE('原始数据'!$E$65,'原始数据'!$E$137,'原始数据'!$E$209,'原始数据'!$E$281)</x:f>
        <x:v>0.111125</x:v>
      </x:c>
      <x:c r="F65" s="57" t="n">
        <x:f>MIN('原始数据'!$D$65,'原始数据'!$D$137,'原始数据'!$D$209,'原始数据'!$D$281)</x:f>
        <x:v>0.8698</x:v>
      </x:c>
      <x:c r="G65" s="57" t="n">
        <x:f>MAX('原始数据'!$E$65,'原始数据'!$E$137,'原始数据'!$E$209,'原始数据'!$E$281)</x:f>
        <x:v>0.1307</x:v>
      </x:c>
      <x:c r="H65" s="60" t="n">
        <x:f>STDEV.P('原始数据'!$D$65,'原始数据'!$D$137,'原始数据'!$D$209,'原始数据'!$D$281)</x:f>
        <x:v>0.011259329464937054</x:v>
      </x:c>
      <x:c r="I65" s="63" t="n">
        <x:f>STDEV.P('原始数据'!$E$65,'原始数据'!$E$137,'原始数据'!$E$209,'原始数据'!$E$281)</x:f>
        <x:v>0.01130163151938693</x:v>
      </x:c>
    </x:row>
    <x:row r="66" ht="20" customHeight="1">
      <x:c r="A66" s="27" t="str">
        <x:v>CADE</x:v>
      </x:c>
      <x:c r="B66" s="30" t="str">
        <x:v>2018-02</x:v>
      </x:c>
      <x:c r="C66" s="51" t="n">
        <x:f>COUNT('原始数据'!$D$66,'原始数据'!$D$138,'原始数据'!$D$210,'原始数据'!$D$282)</x:f>
        <x:v>4</x:v>
      </x:c>
      <x:c r="D66" s="54" t="n">
        <x:f>AVERAGE('原始数据'!$D$66,'原始数据'!$D$138,'原始数据'!$D$210,'原始数据'!$D$282)</x:f>
        <x:v>0.906575</x:v>
      </x:c>
      <x:c r="E66" s="54" t="n">
        <x:f>AVERAGE('原始数据'!$E$66,'原始数据'!$E$138,'原始数据'!$E$210,'原始数据'!$E$282)</x:f>
        <x:v>0.115475</x:v>
      </x:c>
      <x:c r="F66" s="57" t="n">
        <x:f>MIN('原始数据'!$D$66,'原始数据'!$D$138,'原始数据'!$D$210,'原始数据'!$D$282)</x:f>
        <x:v>0.8828</x:v>
      </x:c>
      <x:c r="G66" s="57" t="n">
        <x:f>MAX('原始数据'!$E$66,'原始数据'!$E$138,'原始数据'!$E$210,'原始数据'!$E$282)</x:f>
        <x:v>0.1241</x:v>
      </x:c>
      <x:c r="H66" s="60" t="n">
        <x:f>STDEV.P('原始数据'!$D$66,'原始数据'!$D$138,'原始数据'!$D$210,'原始数据'!$D$282)</x:f>
        <x:v>0.013920376252098918</x:v>
      </x:c>
      <x:c r="I66" s="63" t="n">
        <x:f>STDEV.P('原始数据'!$E$66,'原始数据'!$E$138,'原始数据'!$E$210,'原始数据'!$E$282)</x:f>
        <x:v>0.005721177763363068</x:v>
      </x:c>
    </x:row>
    <x:row r="67" ht="20" customHeight="1">
      <x:c r="A67" s="27" t="str">
        <x:v>CADE</x:v>
      </x:c>
      <x:c r="B67" s="30" t="str">
        <x:v>2018-03</x:v>
      </x:c>
      <x:c r="C67" s="51" t="n">
        <x:f>COUNT('原始数据'!$D$67,'原始数据'!$D$139,'原始数据'!$D$211,'原始数据'!$D$283)</x:f>
        <x:v>4</x:v>
      </x:c>
      <x:c r="D67" s="54" t="n">
        <x:f>AVERAGE('原始数据'!$D$67,'原始数据'!$D$139,'原始数据'!$D$211,'原始数据'!$D$283)</x:f>
        <x:v>0.88835</x:v>
      </x:c>
      <x:c r="E67" s="54" t="n">
        <x:f>AVERAGE('原始数据'!$E$67,'原始数据'!$E$139,'原始数据'!$E$211,'原始数据'!$E$283)</x:f>
        <x:v>0.072075</x:v>
      </x:c>
      <x:c r="F67" s="57" t="n">
        <x:f>MIN('原始数据'!$D$67,'原始数据'!$D$139,'原始数据'!$D$211,'原始数据'!$D$283)</x:f>
        <x:v>0.8571</x:v>
      </x:c>
      <x:c r="G67" s="57" t="n">
        <x:f>MAX('原始数据'!$E$67,'原始数据'!$E$139,'原始数据'!$E$211,'原始数据'!$E$283)</x:f>
        <x:v>0.0839</x:v>
      </x:c>
      <x:c r="H67" s="60" t="n">
        <x:f>STDEV.P('原始数据'!$D$67,'原始数据'!$D$139,'原始数据'!$D$211,'原始数据'!$D$283)</x:f>
        <x:v>0.018793150347932636</x:v>
      </x:c>
      <x:c r="I67" s="63" t="n">
        <x:f>STDEV.P('原始数据'!$E$67,'原始数据'!$E$139,'原始数据'!$E$211,'原始数据'!$E$283)</x:f>
        <x:v>0.009062939644508288</x:v>
      </x:c>
    </x:row>
    <x:row r="68" ht="20" customHeight="1">
      <x:c r="A68" s="27" t="str">
        <x:v>CADE</x:v>
      </x:c>
      <x:c r="B68" s="30" t="str">
        <x:v>2018-04</x:v>
      </x:c>
      <x:c r="C68" s="51" t="n">
        <x:f>COUNT('原始数据'!$D$68,'原始数据'!$D$140,'原始数据'!$D$212,'原始数据'!$D$284)</x:f>
        <x:v>4</x:v>
      </x:c>
      <x:c r="D68" s="54" t="n">
        <x:f>AVERAGE('原始数据'!$D$68,'原始数据'!$D$140,'原始数据'!$D$212,'原始数据'!$D$284)</x:f>
        <x:v>0.90515</x:v>
      </x:c>
      <x:c r="E68" s="54" t="n">
        <x:f>AVERAGE('原始数据'!$E$68,'原始数据'!$E$140,'原始数据'!$E$212,'原始数据'!$E$284)</x:f>
        <x:v>0.07117499999999999</x:v>
      </x:c>
      <x:c r="F68" s="57" t="n">
        <x:f>MIN('原始数据'!$D$68,'原始数据'!$D$140,'原始数据'!$D$212,'原始数据'!$D$284)</x:f>
        <x:v>0.8719</x:v>
      </x:c>
      <x:c r="G68" s="57" t="n">
        <x:f>MAX('原始数据'!$E$68,'原始数据'!$E$140,'原始数据'!$E$212,'原始数据'!$E$284)</x:f>
        <x:v>0.0783</x:v>
      </x:c>
      <x:c r="H68" s="60" t="n">
        <x:f>STDEV.P('原始数据'!$D$68,'原始数据'!$D$140,'原始数据'!$D$212,'原始数据'!$D$284)</x:f>
        <x:v>0.01932698890153351</x:v>
      </x:c>
      <x:c r="I68" s="63" t="n">
        <x:f>STDEV.P('原始数据'!$E$68,'原始数据'!$E$140,'原始数据'!$E$212,'原始数据'!$E$284)</x:f>
        <x:v>0.004368280554176896</x:v>
      </x:c>
    </x:row>
    <x:row r="69" ht="20" customHeight="1">
      <x:c r="A69" s="27" t="str">
        <x:v>CADE</x:v>
      </x:c>
      <x:c r="B69" s="30" t="str">
        <x:v>2018-05</x:v>
      </x:c>
      <x:c r="C69" s="51" t="n">
        <x:f>COUNT('原始数据'!$D$69,'原始数据'!$D$141,'原始数据'!$D$213,'原始数据'!$D$285)</x:f>
        <x:v>4</x:v>
      </x:c>
      <x:c r="D69" s="54" t="n">
        <x:f>AVERAGE('原始数据'!$D$69,'原始数据'!$D$141,'原始数据'!$D$213,'原始数据'!$D$285)</x:f>
        <x:v>0.756875</x:v>
      </x:c>
      <x:c r="E69" s="54" t="n">
        <x:f>AVERAGE('原始数据'!$E$69,'原始数据'!$E$141,'原始数据'!$E$213,'原始数据'!$E$285)</x:f>
        <x:v>0.08055</x:v>
      </x:c>
      <x:c r="F69" s="57" t="n">
        <x:f>MIN('原始数据'!$D$69,'原始数据'!$D$141,'原始数据'!$D$213,'原始数据'!$D$285)</x:f>
        <x:v>0.7013</x:v>
      </x:c>
      <x:c r="G69" s="57" t="n">
        <x:f>MAX('原始数据'!$E$69,'原始数据'!$E$141,'原始数据'!$E$213,'原始数据'!$E$285)</x:f>
        <x:v>0.1033</x:v>
      </x:c>
      <x:c r="H69" s="60" t="n">
        <x:f>STDEV.P('原始数据'!$D$69,'原始数据'!$D$141,'原始数据'!$D$213,'原始数据'!$D$285)</x:f>
        <x:v>0.09165777040164132</x:v>
      </x:c>
      <x:c r="I69" s="63" t="n">
        <x:f>STDEV.P('原始数据'!$E$69,'原始数据'!$E$141,'原始数据'!$E$213,'原始数据'!$E$285)</x:f>
        <x:v>0.013564752117160123</x:v>
      </x:c>
    </x:row>
    <x:row r="70" ht="20" customHeight="1">
      <x:c r="A70" s="27" t="str">
        <x:v>CADE</x:v>
      </x:c>
      <x:c r="B70" s="30" t="str">
        <x:v>2018-06</x:v>
      </x:c>
      <x:c r="C70" s="51" t="n">
        <x:f>COUNT('原始数据'!$D$70,'原始数据'!$D$142,'原始数据'!$D$214,'原始数据'!$D$286)</x:f>
        <x:v>4</x:v>
      </x:c>
      <x:c r="D70" s="54" t="n">
        <x:f>AVERAGE('原始数据'!$D$70,'原始数据'!$D$142,'原始数据'!$D$214,'原始数据'!$D$286)</x:f>
        <x:v>0.8871000000000001</x:v>
      </x:c>
      <x:c r="E70" s="54" t="n">
        <x:f>AVERAGE('原始数据'!$E$70,'原始数据'!$E$142,'原始数据'!$E$214,'原始数据'!$E$286)</x:f>
        <x:v>0.152725</x:v>
      </x:c>
      <x:c r="F70" s="57" t="n">
        <x:f>MIN('原始数据'!$D$70,'原始数据'!$D$142,'原始数据'!$D$214,'原始数据'!$D$286)</x:f>
        <x:v>0.8342</x:v>
      </x:c>
      <x:c r="G70" s="57" t="n">
        <x:f>MAX('原始数据'!$E$70,'原始数据'!$E$142,'原始数据'!$E$214,'原始数据'!$E$286)</x:f>
        <x:v>0.1632</x:v>
      </x:c>
      <x:c r="H70" s="60" t="n">
        <x:f>STDEV.P('原始数据'!$D$70,'原始数据'!$D$142,'原始数据'!$D$214,'原始数据'!$D$286)</x:f>
        <x:v>0.031095256873034494</x:v>
      </x:c>
      <x:c r="I70" s="63" t="n">
        <x:f>STDEV.P('原始数据'!$E$70,'原始数据'!$E$142,'原始数据'!$E$214,'原始数据'!$E$286)</x:f>
        <x:v>0.0076887498983905095</x:v>
      </x:c>
    </x:row>
    <x:row r="71" ht="20" customHeight="1">
      <x:c r="A71" s="27" t="str">
        <x:v>CADE</x:v>
      </x:c>
      <x:c r="B71" s="30" t="str">
        <x:v>2018-07</x:v>
      </x:c>
      <x:c r="C71" s="51" t="n">
        <x:f>COUNT('原始数据'!$D$71,'原始数据'!$D$143,'原始数据'!$D$215,'原始数据'!$D$287)</x:f>
        <x:v>4</x:v>
      </x:c>
      <x:c r="D71" s="54" t="n">
        <x:f>AVERAGE('原始数据'!$D$71,'原始数据'!$D$143,'原始数据'!$D$215,'原始数据'!$D$287)</x:f>
        <x:v>0.88785</x:v>
      </x:c>
      <x:c r="E71" s="54" t="n">
        <x:f>AVERAGE('原始数据'!$E$71,'原始数据'!$E$143,'原始数据'!$E$215,'原始数据'!$E$287)</x:f>
        <x:v>0.1588</x:v>
      </x:c>
      <x:c r="F71" s="57" t="n">
        <x:f>MIN('原始数据'!$D$71,'原始数据'!$D$143,'原始数据'!$D$215,'原始数据'!$D$287)</x:f>
        <x:v>0.8754</x:v>
      </x:c>
      <x:c r="G71" s="57" t="n">
        <x:f>MAX('原始数据'!$E$71,'原始数据'!$E$143,'原始数据'!$E$215,'原始数据'!$E$287)</x:f>
        <x:v>0.1721</x:v>
      </x:c>
      <x:c r="H71" s="60" t="n">
        <x:f>STDEV.P('原始数据'!$D$71,'原始数据'!$D$143,'原始数据'!$D$215,'原始数据'!$D$287)</x:f>
        <x:v>0.007837250793486194</x:v>
      </x:c>
      <x:c r="I71" s="63" t="n">
        <x:f>STDEV.P('原始数据'!$E$71,'原始数据'!$E$143,'原始数据'!$E$215,'原始数据'!$E$287)</x:f>
        <x:v>0.008754713016427213</x:v>
      </x:c>
    </x:row>
    <x:row r="72" ht="20" customHeight="1">
      <x:c r="A72" s="27" t="str">
        <x:v>CADE</x:v>
      </x:c>
      <x:c r="B72" s="30" t="str">
        <x:v>2018-08</x:v>
      </x:c>
      <x:c r="C72" s="51" t="n">
        <x:f>COUNT('原始数据'!$D$72,'原始数据'!$D$144,'原始数据'!$D$216,'原始数据'!$D$288)</x:f>
        <x:v>4</x:v>
      </x:c>
      <x:c r="D72" s="54" t="n">
        <x:f>AVERAGE('原始数据'!$D$72,'原始数据'!$D$144,'原始数据'!$D$216,'原始数据'!$D$288)</x:f>
        <x:v>0.891875</x:v>
      </x:c>
      <x:c r="E72" s="54" t="n">
        <x:f>AVERAGE('原始数据'!$E$72,'原始数据'!$E$144,'原始数据'!$E$216,'原始数据'!$E$288)</x:f>
        <x:v>0.11855</x:v>
      </x:c>
      <x:c r="F72" s="57" t="n">
        <x:f>MIN('原始数据'!$D$72,'原始数据'!$D$144,'原始数据'!$D$216,'原始数据'!$D$288)</x:f>
        <x:v>0.8821</x:v>
      </x:c>
      <x:c r="G72" s="57" t="n">
        <x:f>MAX('原始数据'!$E$72,'原始数据'!$E$144,'原始数据'!$E$216,'原始数据'!$E$288)</x:f>
        <x:v>0.1237</x:v>
      </x:c>
      <x:c r="H72" s="60" t="n">
        <x:f>STDEV.P('原始数据'!$D$72,'原始数据'!$D$144,'原始数据'!$D$216,'原始数据'!$D$288)</x:f>
        <x:v>0.0066784635209005995</x:v>
      </x:c>
      <x:c r="I72" s="63" t="n">
        <x:f>STDEV.P('原始数据'!$E$72,'原始数据'!$E$144,'原始数据'!$E$216,'原始数据'!$E$288)</x:f>
        <x:v>0.0038461019227264393</x:v>
      </x:c>
    </x:row>
    <x:row r="73" ht="20" customHeight="1">
      <x:c r="A73" s="27" t="str">
        <x:v>CADE</x:v>
      </x:c>
      <x:c r="B73" s="30" t="str">
        <x:v>2018-09</x:v>
      </x:c>
      <x:c r="C73" s="51" t="n">
        <x:f>COUNT('原始数据'!$D$73,'原始数据'!$D$145,'原始数据'!$D$217,'原始数据'!$D$289)</x:f>
        <x:v>4</x:v>
      </x:c>
      <x:c r="D73" s="54" t="n">
        <x:f>AVERAGE('原始数据'!$D$73,'原始数据'!$D$145,'原始数据'!$D$217,'原始数据'!$D$289)</x:f>
        <x:v>0.856075</x:v>
      </x:c>
      <x:c r="E73" s="54" t="n">
        <x:f>AVERAGE('原始数据'!$E$73,'原始数据'!$E$145,'原始数据'!$E$217,'原始数据'!$E$289)</x:f>
        <x:v>0.1905</x:v>
      </x:c>
      <x:c r="F73" s="57" t="n">
        <x:f>MIN('原始数据'!$D$73,'原始数据'!$D$145,'原始数据'!$D$217,'原始数据'!$D$289)</x:f>
        <x:v>0.821</x:v>
      </x:c>
      <x:c r="G73" s="57" t="n">
        <x:f>MAX('原始数据'!$E$73,'原始数据'!$E$145,'原始数据'!$E$217,'原始数据'!$E$289)</x:f>
        <x:v>0.2642</x:v>
      </x:c>
      <x:c r="H73" s="60" t="n">
        <x:f>STDEV.P('原始数据'!$D$73,'原始数据'!$D$145,'原始数据'!$D$217,'原始数据'!$D$289)</x:f>
        <x:v>0.021847125096909233</x:v>
      </x:c>
      <x:c r="I73" s="63" t="n">
        <x:f>STDEV.P('原始数据'!$E$73,'原始数据'!$E$145,'原始数据'!$E$217,'原始数据'!$E$289)</x:f>
        <x:v>0.04484166589233722</x:v>
      </x:c>
    </x:row>
    <x:row r="74" ht="20" customHeight="1">
      <x:c r="A74" s="27" t="str">
        <x:v>CADE</x:v>
      </x:c>
      <x:c r="B74" s="30" t="str">
        <x:v>2018-10</x:v>
      </x:c>
      <x:c r="C74" s="51" t="n">
        <x:f>COUNT('原始数据'!$D$74,'原始数据'!$D$146,'原始数据'!$D$218,'原始数据'!$D$290)</x:f>
        <x:v>4</x:v>
      </x:c>
      <x:c r="D74" s="54" t="n">
        <x:f>AVERAGE('原始数据'!$D$74,'原始数据'!$D$146,'原始数据'!$D$218,'原始数据'!$D$290)</x:f>
        <x:v>0.8736</x:v>
      </x:c>
      <x:c r="E74" s="54" t="n">
        <x:f>AVERAGE('原始数据'!$E$74,'原始数据'!$E$146,'原始数据'!$E$218,'原始数据'!$E$290)</x:f>
        <x:v>0.18155000000000002</x:v>
      </x:c>
      <x:c r="F74" s="57" t="n">
        <x:f>MIN('原始数据'!$D$74,'原始数据'!$D$146,'原始数据'!$D$218,'原始数据'!$D$290)</x:f>
        <x:v>0.8667</x:v>
      </x:c>
      <x:c r="G74" s="57" t="n">
        <x:f>MAX('原始数据'!$E$74,'原始数据'!$E$146,'原始数据'!$E$218,'原始数据'!$E$290)</x:f>
        <x:v>0.2008</x:v>
      </x:c>
      <x:c r="H74" s="60" t="n">
        <x:f>STDEV.P('原始数据'!$D$74,'原始数据'!$D$146,'原始数据'!$D$218,'原始数据'!$D$290)</x:f>
        <x:v>0.0056316072306225075</x:v>
      </x:c>
      <x:c r="I74" s="63" t="n">
        <x:f>STDEV.P('原始数据'!$E$74,'原始数据'!$E$146,'原始数据'!$E$218,'原始数据'!$E$290)</x:f>
        <x:v>0.012038583803753666</x:v>
      </x:c>
    </x:row>
    <x:row r="75" ht="20" customHeight="1">
      <x:c r="A75" s="27" t="str">
        <x:v>CADE</x:v>
      </x:c>
      <x:c r="B75" s="30" t="str">
        <x:v>2018-11</x:v>
      </x:c>
      <x:c r="C75" s="51" t="n">
        <x:f>COUNT('原始数据'!$D$75,'原始数据'!$D$147,'原始数据'!$D$219,'原始数据'!$D$291)</x:f>
        <x:v>4</x:v>
      </x:c>
      <x:c r="D75" s="54" t="n">
        <x:f>AVERAGE('原始数据'!$D$75,'原始数据'!$D$147,'原始数据'!$D$219,'原始数据'!$D$291)</x:f>
        <x:v>0.941825</x:v>
      </x:c>
      <x:c r="E75" s="54" t="n">
        <x:f>AVERAGE('原始数据'!$E$75,'原始数据'!$E$147,'原始数据'!$E$219,'原始数据'!$E$291)</x:f>
        <x:v>0.062725</x:v>
      </x:c>
      <x:c r="F75" s="57" t="n">
        <x:f>MIN('原始数据'!$D$75,'原始数据'!$D$147,'原始数据'!$D$219,'原始数据'!$D$291)</x:f>
        <x:v>0.9324</x:v>
      </x:c>
      <x:c r="G75" s="57" t="n">
        <x:f>MAX('原始数据'!$E$75,'原始数据'!$E$147,'原始数据'!$E$219,'原始数据'!$E$291)</x:f>
        <x:v>0.0836</x:v>
      </x:c>
      <x:c r="H75" s="60" t="n">
        <x:f>STDEV.P('原始数据'!$D$75,'原始数据'!$D$147,'原始数据'!$D$219,'原始数据'!$D$291)</x:f>
        <x:v>0.006081272481972834</x:v>
      </x:c>
      <x:c r="I75" s="63" t="n">
        <x:f>STDEV.P('原始数据'!$E$75,'原始数据'!$E$147,'原始数据'!$E$219,'原始数据'!$E$291)</x:f>
        <x:v>0.012778179643439044</x:v>
      </x:c>
    </x:row>
    <x:row r="76" ht="20" customHeight="1">
      <x:c r="A76" s="27" t="str">
        <x:v>CADE</x:v>
      </x:c>
      <x:c r="B76" s="30" t="str">
        <x:v>2018-12</x:v>
      </x:c>
      <x:c r="C76" s="51" t="n">
        <x:f>COUNT('原始数据'!$D$76,'原始数据'!$D$148,'原始数据'!$D$220,'原始数据'!$D$292)</x:f>
        <x:v>4</x:v>
      </x:c>
      <x:c r="D76" s="54" t="n">
        <x:f>AVERAGE('原始数据'!$D$76,'原始数据'!$D$148,'原始数据'!$D$220,'原始数据'!$D$292)</x:f>
        <x:v>0.9574</x:v>
      </x:c>
      <x:c r="E76" s="54" t="n">
        <x:f>AVERAGE('原始数据'!$E$76,'原始数据'!$E$148,'原始数据'!$E$220,'原始数据'!$E$292)</x:f>
        <x:v>0.0259</x:v>
      </x:c>
      <x:c r="F76" s="57" t="n">
        <x:f>MIN('原始数据'!$D$76,'原始数据'!$D$148,'原始数据'!$D$220,'原始数据'!$D$292)</x:f>
        <x:v>0.9463</x:v>
      </x:c>
      <x:c r="G76" s="57" t="n">
        <x:f>MAX('原始数据'!$E$76,'原始数据'!$E$148,'原始数据'!$E$220,'原始数据'!$E$292)</x:f>
        <x:v>0.0415</x:v>
      </x:c>
      <x:c r="H76" s="60" t="n">
        <x:f>STDEV.P('原始数据'!$D$76,'原始数据'!$D$148,'原始数据'!$D$220,'原始数据'!$D$292)</x:f>
        <x:v>0.008373470009500244</x:v>
      </x:c>
      <x:c r="I76" s="63" t="n">
        <x:f>STDEV.P('原始数据'!$E$76,'原始数据'!$E$148,'原始数据'!$E$220,'原始数据'!$E$292)</x:f>
        <x:v>0.009728309205612249</x:v>
      </x:c>
    </x:row>
    <x:row r="77" ht="20" customHeight="1">
      <x:c r="A77" s="27" t="str">
        <x:v>CADE-IDS</x:v>
      </x:c>
      <x:c r="B77" s="30" t="str">
        <x:v>2013-01</x:v>
      </x:c>
      <x:c r="C77" s="51" t="n">
        <x:f>COUNT('原始数据'!$D$293,'原始数据'!$D$365,'原始数据'!$D$437,'原始数据'!$D$509)</x:f>
        <x:v>4</x:v>
      </x:c>
      <x:c r="D77" s="54" t="n">
        <x:f>AVERAGE('原始数据'!$D$293,'原始数据'!$D$365,'原始数据'!$D$437,'原始数据'!$D$509)</x:f>
        <x:v>0.9558</x:v>
      </x:c>
      <x:c r="E77" s="54" t="n">
        <x:f>AVERAGE('原始数据'!$E$293,'原始数据'!$E$365,'原始数据'!$E$437,'原始数据'!$E$509)</x:f>
        <x:v>0.026</x:v>
      </x:c>
      <x:c r="F77" s="57" t="n">
        <x:f>MIN('原始数据'!$D$293,'原始数据'!$D$365,'原始数据'!$D$437,'原始数据'!$D$509)</x:f>
        <x:v>0.9558</x:v>
      </x:c>
      <x:c r="G77" s="57" t="n">
        <x:f>MAX('原始数据'!$E$293,'原始数据'!$E$365,'原始数据'!$E$437,'原始数据'!$E$509)</x:f>
        <x:v>0.026</x:v>
      </x:c>
      <x:c r="H77" s="60" t="n">
        <x:f>STDEV.P('原始数据'!$D$293,'原始数据'!$D$365,'原始数据'!$D$437,'原始数据'!$D$509)</x:f>
        <x:v>0</x:v>
      </x:c>
      <x:c r="I77" s="63" t="n">
        <x:f>STDEV.P('原始数据'!$E$293,'原始数据'!$E$365,'原始数据'!$E$437,'原始数据'!$E$509)</x:f>
        <x:v>0</x:v>
      </x:c>
    </x:row>
    <x:row r="78" ht="20" customHeight="1">
      <x:c r="A78" s="27" t="str">
        <x:v>CADE-IDS</x:v>
      </x:c>
      <x:c r="B78" s="30" t="str">
        <x:v>2013-02</x:v>
      </x:c>
      <x:c r="C78" s="51" t="n">
        <x:f>COUNT('原始数据'!$D$294,'原始数据'!$D$366,'原始数据'!$D$438,'原始数据'!$D$510)</x:f>
        <x:v>4</x:v>
      </x:c>
      <x:c r="D78" s="54" t="n">
        <x:f>AVERAGE('原始数据'!$D$294,'原始数据'!$D$366,'原始数据'!$D$438,'原始数据'!$D$510)</x:f>
        <x:v>0.8868499999999999</x:v>
      </x:c>
      <x:c r="E78" s="54" t="n">
        <x:f>AVERAGE('原始数据'!$E$294,'原始数据'!$E$366,'原始数据'!$E$438,'原始数据'!$E$510)</x:f>
        <x:v>0.170325</x:v>
      </x:c>
      <x:c r="F78" s="57" t="n">
        <x:f>MIN('原始数据'!$D$294,'原始数据'!$D$366,'原始数据'!$D$438,'原始数据'!$D$510)</x:f>
        <x:v>0.8863</x:v>
      </x:c>
      <x:c r="G78" s="57" t="n">
        <x:f>MAX('原始数据'!$E$294,'原始数据'!$E$366,'原始数据'!$E$438,'原始数据'!$E$510)</x:f>
        <x:v>0.1719</x:v>
      </x:c>
      <x:c r="H78" s="60" t="n">
        <x:f>STDEV.P('原始数据'!$D$294,'原始数据'!$D$366,'原始数据'!$D$438,'原始数据'!$D$510)</x:f>
        <x:v>0.0009526279441628737</x:v>
      </x:c>
      <x:c r="I78" s="63" t="n">
        <x:f>STDEV.P('原始数据'!$E$294,'原始数据'!$E$366,'原始数据'!$E$438,'原始数据'!$E$510)</x:f>
        <x:v>0.002727980021920982</x:v>
      </x:c>
    </x:row>
    <x:row r="79" ht="20" customHeight="1">
      <x:c r="A79" s="27" t="str">
        <x:v>CADE-IDS</x:v>
      </x:c>
      <x:c r="B79" s="30" t="str">
        <x:v>2013-03</x:v>
      </x:c>
      <x:c r="C79" s="51" t="n">
        <x:f>COUNT('原始数据'!$D$295,'原始数据'!$D$367,'原始数据'!$D$439,'原始数据'!$D$511)</x:f>
        <x:v>4</x:v>
      </x:c>
      <x:c r="D79" s="54" t="n">
        <x:f>AVERAGE('原始数据'!$D$295,'原始数据'!$D$367,'原始数据'!$D$439,'原始数据'!$D$511)</x:f>
        <x:v>0.885725</x:v>
      </x:c>
      <x:c r="E79" s="54" t="n">
        <x:f>AVERAGE('原始数据'!$E$295,'原始数据'!$E$367,'原始数据'!$E$439,'原始数据'!$E$511)</x:f>
        <x:v>0.154325</x:v>
      </x:c>
      <x:c r="F79" s="57" t="n">
        <x:f>MIN('原始数据'!$D$295,'原始数据'!$D$367,'原始数据'!$D$439,'原始数据'!$D$511)</x:f>
        <x:v>0.8781</x:v>
      </x:c>
      <x:c r="G79" s="57" t="n">
        <x:f>MAX('原始数据'!$E$295,'原始数据'!$E$367,'原始数据'!$E$439,'原始数据'!$E$511)</x:f>
        <x:v>0.1662</x:v>
      </x:c>
      <x:c r="H79" s="60" t="n">
        <x:f>STDEV.P('原始数据'!$D$295,'原始数据'!$D$367,'原始数据'!$D$439,'原始数据'!$D$511)</x:f>
        <x:v>0.0062017638619992505</x:v>
      </x:c>
      <x:c r="I79" s="63" t="n">
        <x:f>STDEV.P('原始数据'!$E$295,'原始数据'!$E$367,'原始数据'!$E$439,'原始数据'!$E$511)</x:f>
        <x:v>0.01091383869222923</x:v>
      </x:c>
    </x:row>
    <x:row r="80" ht="20" customHeight="1">
      <x:c r="A80" s="27" t="str">
        <x:v>CADE-IDS</x:v>
      </x:c>
      <x:c r="B80" s="30" t="str">
        <x:v>2013-04</x:v>
      </x:c>
      <x:c r="C80" s="51" t="n">
        <x:f>COUNT('原始数据'!$D$296,'原始数据'!$D$368,'原始数据'!$D$440,'原始数据'!$D$512)</x:f>
        <x:v>4</x:v>
      </x:c>
      <x:c r="D80" s="54" t="n">
        <x:f>AVERAGE('原始数据'!$D$296,'原始数据'!$D$368,'原始数据'!$D$440,'原始数据'!$D$512)</x:f>
        <x:v>0.91575</x:v>
      </x:c>
      <x:c r="E80" s="54" t="n">
        <x:f>AVERAGE('原始数据'!$E$296,'原始数据'!$E$368,'原始数据'!$E$440,'原始数据'!$E$512)</x:f>
        <x:v>0.12725</x:v>
      </x:c>
      <x:c r="F80" s="57" t="n">
        <x:f>MIN('原始数据'!$D$296,'原始数据'!$D$368,'原始数据'!$D$440,'原始数据'!$D$512)</x:f>
        <x:v>0.912</x:v>
      </x:c>
      <x:c r="G80" s="57" t="n">
        <x:f>MAX('原始数据'!$E$296,'原始数据'!$E$368,'原始数据'!$E$440,'原始数据'!$E$512)</x:f>
        <x:v>0.1388</x:v>
      </x:c>
      <x:c r="H80" s="60" t="n">
        <x:f>STDEV.P('原始数据'!$D$296,'原始数据'!$D$368,'原始数据'!$D$440,'原始数据'!$D$512)</x:f>
        <x:v>0.00280223125384039</x:v>
      </x:c>
      <x:c r="I80" s="63" t="n">
        <x:f>STDEV.P('原始数据'!$E$296,'原始数据'!$E$368,'原始数据'!$E$440,'原始数据'!$E$512)</x:f>
        <x:v>0.009354277096601324</x:v>
      </x:c>
    </x:row>
    <x:row r="81" ht="20" customHeight="1">
      <x:c r="A81" s="27" t="str">
        <x:v>CADE-IDS</x:v>
      </x:c>
      <x:c r="B81" s="30" t="str">
        <x:v>2013-05</x:v>
      </x:c>
      <x:c r="C81" s="51" t="n">
        <x:f>COUNT('原始数据'!$D$297,'原始数据'!$D$369,'原始数据'!$D$441,'原始数据'!$D$513)</x:f>
        <x:v>4</x:v>
      </x:c>
      <x:c r="D81" s="54" t="n">
        <x:f>AVERAGE('原始数据'!$D$297,'原始数据'!$D$369,'原始数据'!$D$441,'原始数据'!$D$513)</x:f>
        <x:v>0.9033749999999999</x:v>
      </x:c>
      <x:c r="E81" s="54" t="n">
        <x:f>AVERAGE('原始数据'!$E$297,'原始数据'!$E$369,'原始数据'!$E$441,'原始数据'!$E$513)</x:f>
        <x:v>0.13695</x:v>
      </x:c>
      <x:c r="F81" s="57" t="n">
        <x:f>MIN('原始数据'!$D$297,'原始数据'!$D$369,'原始数据'!$D$441,'原始数据'!$D$513)</x:f>
        <x:v>0.8997</x:v>
      </x:c>
      <x:c r="G81" s="57" t="n">
        <x:f>MAX('原始数据'!$E$297,'原始数据'!$E$369,'原始数据'!$E$441,'原始数据'!$E$513)</x:f>
        <x:v>0.1411</x:v>
      </x:c>
      <x:c r="H81" s="60" t="n">
        <x:f>STDEV.P('原始数据'!$D$297,'原始数据'!$D$369,'原始数据'!$D$441,'原始数据'!$D$513)</x:f>
        <x:v>0.002576213306385924</x:v>
      </x:c>
      <x:c r="I81" s="63" t="n">
        <x:f>STDEV.P('原始数据'!$E$297,'原始数据'!$E$369,'原始数据'!$E$441,'原始数据'!$E$513)</x:f>
        <x:v>0.0025313040117694325</x:v>
      </x:c>
    </x:row>
    <x:row r="82" ht="20" customHeight="1">
      <x:c r="A82" s="27" t="str">
        <x:v>CADE-IDS</x:v>
      </x:c>
      <x:c r="B82" s="30" t="str">
        <x:v>2013-06</x:v>
      </x:c>
      <x:c r="C82" s="51" t="n">
        <x:f>COUNT('原始数据'!$D$298,'原始数据'!$D$370,'原始数据'!$D$442,'原始数据'!$D$514)</x:f>
        <x:v>4</x:v>
      </x:c>
      <x:c r="D82" s="54" t="n">
        <x:f>AVERAGE('原始数据'!$D$298,'原始数据'!$D$370,'原始数据'!$D$442,'原始数据'!$D$514)</x:f>
        <x:v>0.89615</x:v>
      </x:c>
      <x:c r="E82" s="54" t="n">
        <x:f>AVERAGE('原始数据'!$E$298,'原始数据'!$E$370,'原始数据'!$E$442,'原始数据'!$E$514)</x:f>
        <x:v>0.1324</x:v>
      </x:c>
      <x:c r="F82" s="57" t="n">
        <x:f>MIN('原始数据'!$D$298,'原始数据'!$D$370,'原始数据'!$D$442,'原始数据'!$D$514)</x:f>
        <x:v>0.8865</x:v>
      </x:c>
      <x:c r="G82" s="57" t="n">
        <x:f>MAX('原始数据'!$E$298,'原始数据'!$E$370,'原始数据'!$E$442,'原始数据'!$E$514)</x:f>
        <x:v>0.1391</x:v>
      </x:c>
      <x:c r="H82" s="60" t="n">
        <x:f>STDEV.P('原始数据'!$D$298,'原始数据'!$D$370,'原始数据'!$D$442,'原始数据'!$D$514)</x:f>
        <x:v>0.006639841865586886</x:v>
      </x:c>
      <x:c r="I82" s="63" t="n">
        <x:f>STDEV.P('原始数据'!$E$298,'原始数据'!$E$370,'原始数据'!$E$442,'原始数据'!$E$514)</x:f>
        <x:v>0.004394883388669143</x:v>
      </x:c>
    </x:row>
    <x:row r="83" ht="20" customHeight="1">
      <x:c r="A83" s="27" t="str">
        <x:v>CADE-IDS</x:v>
      </x:c>
      <x:c r="B83" s="30" t="str">
        <x:v>2013-07</x:v>
      </x:c>
      <x:c r="C83" s="51" t="n">
        <x:f>COUNT('原始数据'!$D$299,'原始数据'!$D$371,'原始数据'!$D$443,'原始数据'!$D$515)</x:f>
        <x:v>4</x:v>
      </x:c>
      <x:c r="D83" s="54" t="n">
        <x:f>AVERAGE('原始数据'!$D$299,'原始数据'!$D$371,'原始数据'!$D$443,'原始数据'!$D$515)</x:f>
        <x:v>0.90205</x:v>
      </x:c>
      <x:c r="E83" s="54" t="n">
        <x:f>AVERAGE('原始数据'!$E$299,'原始数据'!$E$371,'原始数据'!$E$443,'原始数据'!$E$515)</x:f>
        <x:v>0.131425</x:v>
      </x:c>
      <x:c r="F83" s="57" t="n">
        <x:f>MIN('原始数据'!$D$299,'原始数据'!$D$371,'原始数据'!$D$443,'原始数据'!$D$515)</x:f>
        <x:v>0.8921</x:v>
      </x:c>
      <x:c r="G83" s="57" t="n">
        <x:f>MAX('原始数据'!$E$299,'原始数据'!$E$371,'原始数据'!$E$443,'原始数据'!$E$515)</x:f>
        <x:v>0.1344</x:v>
      </x:c>
      <x:c r="H83" s="60" t="n">
        <x:f>STDEV.P('原始数据'!$D$299,'原始数据'!$D$371,'原始数据'!$D$443,'原始数据'!$D$515)</x:f>
        <x:v>0.0068287993088097096</x:v>
      </x:c>
      <x:c r="I83" s="63" t="n">
        <x:f>STDEV.P('原始数据'!$E$299,'原始数据'!$E$371,'原始数据'!$E$443,'原始数据'!$E$515)</x:f>
        <x:v>0.00327900518450337</x:v>
      </x:c>
    </x:row>
    <x:row r="84" ht="20" customHeight="1">
      <x:c r="A84" s="27" t="str">
        <x:v>CADE-IDS</x:v>
      </x:c>
      <x:c r="B84" s="30" t="str">
        <x:v>2013-08</x:v>
      </x:c>
      <x:c r="C84" s="51" t="n">
        <x:f>COUNT('原始数据'!$D$300,'原始数据'!$D$372,'原始数据'!$D$444,'原始数据'!$D$516)</x:f>
        <x:v>4</x:v>
      </x:c>
      <x:c r="D84" s="54" t="n">
        <x:f>AVERAGE('原始数据'!$D$300,'原始数据'!$D$372,'原始数据'!$D$444,'原始数据'!$D$516)</x:f>
        <x:v>0.9006750000000001</x:v>
      </x:c>
      <x:c r="E84" s="54" t="n">
        <x:f>AVERAGE('原始数据'!$E$300,'原始数据'!$E$372,'原始数据'!$E$444,'原始数据'!$E$516)</x:f>
        <x:v>0.125</x:v>
      </x:c>
      <x:c r="F84" s="57" t="n">
        <x:f>MIN('原始数据'!$D$300,'原始数据'!$D$372,'原始数据'!$D$444,'原始数据'!$D$516)</x:f>
        <x:v>0.8898</x:v>
      </x:c>
      <x:c r="G84" s="57" t="n">
        <x:f>MAX('原始数据'!$E$300,'原始数据'!$E$372,'原始数据'!$E$444,'原始数据'!$E$516)</x:f>
        <x:v>0.1364</x:v>
      </x:c>
      <x:c r="H84" s="60" t="n">
        <x:f>STDEV.P('原始数据'!$D$300,'原始数据'!$D$372,'原始数据'!$D$444,'原始数据'!$D$516)</x:f>
        <x:v>0.01000209353085641</x:v>
      </x:c>
      <x:c r="I84" s="63" t="n">
        <x:f>STDEV.P('原始数据'!$E$300,'原始数据'!$E$372,'原始数据'!$E$444,'原始数据'!$E$516)</x:f>
        <x:v>0.00941780229140536</x:v>
      </x:c>
    </x:row>
    <x:row r="85" ht="20" customHeight="1">
      <x:c r="A85" s="27" t="str">
        <x:v>CADE-IDS</x:v>
      </x:c>
      <x:c r="B85" s="30" t="str">
        <x:v>2013-09</x:v>
      </x:c>
      <x:c r="C85" s="51" t="n">
        <x:f>COUNT('原始数据'!$D$301,'原始数据'!$D$373,'原始数据'!$D$445,'原始数据'!$D$517)</x:f>
        <x:v>4</x:v>
      </x:c>
      <x:c r="D85" s="54" t="n">
        <x:f>AVERAGE('原始数据'!$D$301,'原始数据'!$D$373,'原始数据'!$D$445,'原始数据'!$D$517)</x:f>
        <x:v>0.884925</x:v>
      </x:c>
      <x:c r="E85" s="54" t="n">
        <x:f>AVERAGE('原始数据'!$E$301,'原始数据'!$E$373,'原始数据'!$E$445,'原始数据'!$E$517)</x:f>
        <x:v>0.1335</x:v>
      </x:c>
      <x:c r="F85" s="57" t="n">
        <x:f>MIN('原始数据'!$D$301,'原始数据'!$D$373,'原始数据'!$D$445,'原始数据'!$D$517)</x:f>
        <x:v>0.8745</x:v>
      </x:c>
      <x:c r="G85" s="57" t="n">
        <x:f>MAX('原始数据'!$E$301,'原始数据'!$E$373,'原始数据'!$E$445,'原始数据'!$E$517)</x:f>
        <x:v>0.138</x:v>
      </x:c>
      <x:c r="H85" s="60" t="n">
        <x:f>STDEV.P('原始数据'!$D$301,'原始数据'!$D$373,'原始数据'!$D$445,'原始数据'!$D$517)</x:f>
        <x:v>0.006293002065787017</x:v>
      </x:c>
      <x:c r="I85" s="63" t="n">
        <x:f>STDEV.P('原始数据'!$E$301,'原始数据'!$E$373,'原始数据'!$E$445,'原始数据'!$E$517)</x:f>
        <x:v>0.003570714214271428</x:v>
      </x:c>
    </x:row>
    <x:row r="86" ht="20" customHeight="1">
      <x:c r="A86" s="27" t="str">
        <x:v>CADE-IDS</x:v>
      </x:c>
      <x:c r="B86" s="30" t="str">
        <x:v>2013-10</x:v>
      </x:c>
      <x:c r="C86" s="51" t="n">
        <x:f>COUNT('原始数据'!$D$302,'原始数据'!$D$374,'原始数据'!$D$446,'原始数据'!$D$518)</x:f>
        <x:v>4</x:v>
      </x:c>
      <x:c r="D86" s="54" t="n">
        <x:f>AVERAGE('原始数据'!$D$302,'原始数据'!$D$374,'原始数据'!$D$446,'原始数据'!$D$518)</x:f>
        <x:v>0.8829</x:v>
      </x:c>
      <x:c r="E86" s="54" t="n">
        <x:f>AVERAGE('原始数据'!$E$302,'原始数据'!$E$374,'原始数据'!$E$446,'原始数据'!$E$518)</x:f>
        <x:v>0.162325</x:v>
      </x:c>
      <x:c r="F86" s="57" t="n">
        <x:f>MIN('原始数据'!$D$302,'原始数据'!$D$374,'原始数据'!$D$446,'原始数据'!$D$518)</x:f>
        <x:v>0.8494</x:v>
      </x:c>
      <x:c r="G86" s="57" t="n">
        <x:f>MAX('原始数据'!$E$302,'原始数据'!$E$374,'原始数据'!$E$446,'原始数据'!$E$518)</x:f>
        <x:v>0.1864</x:v>
      </x:c>
      <x:c r="H86" s="60" t="n">
        <x:f>STDEV.P('原始数据'!$D$302,'原始数据'!$D$374,'原始数据'!$D$446,'原始数据'!$D$518)</x:f>
        <x:v>0.01957919814497007</x:v>
      </x:c>
      <x:c r="I86" s="63" t="n">
        <x:f>STDEV.P('原始数据'!$E$302,'原始数据'!$E$374,'原始数据'!$E$446,'原始数据'!$E$518)</x:f>
        <x:v>0.014113889435587917</x:v>
      </x:c>
    </x:row>
    <x:row r="87" ht="20" customHeight="1">
      <x:c r="A87" s="27" t="str">
        <x:v>CADE-IDS</x:v>
      </x:c>
      <x:c r="B87" s="30" t="str">
        <x:v>2013-11</x:v>
      </x:c>
      <x:c r="C87" s="51" t="n">
        <x:f>COUNT('原始数据'!$D$303,'原始数据'!$D$375,'原始数据'!$D$447,'原始数据'!$D$519)</x:f>
        <x:v>4</x:v>
      </x:c>
      <x:c r="D87" s="54" t="n">
        <x:f>AVERAGE('原始数据'!$D$303,'原始数据'!$D$375,'原始数据'!$D$447,'原始数据'!$D$519)</x:f>
        <x:v>0.869675</x:v>
      </x:c>
      <x:c r="E87" s="54" t="n">
        <x:f>AVERAGE('原始数据'!$E$303,'原始数据'!$E$375,'原始数据'!$E$447,'原始数据'!$E$519)</x:f>
        <x:v>0.17930000000000001</x:v>
      </x:c>
      <x:c r="F87" s="57" t="n">
        <x:f>MIN('原始数据'!$D$303,'原始数据'!$D$375,'原始数据'!$D$447,'原始数据'!$D$519)</x:f>
        <x:v>0.8553</x:v>
      </x:c>
      <x:c r="G87" s="57" t="n">
        <x:f>MAX('原始数据'!$E$303,'原始数据'!$E$375,'原始数据'!$E$447,'原始数据'!$E$519)</x:f>
        <x:v>0.198</x:v>
      </x:c>
      <x:c r="H87" s="60" t="n">
        <x:f>STDEV.P('原始数据'!$D$303,'原始数据'!$D$375,'原始数据'!$D$447,'原始数据'!$D$519)</x:f>
        <x:v>0.009129724804176747</x:v>
      </x:c>
      <x:c r="I87" s="63" t="n">
        <x:f>STDEV.P('原始数据'!$E$303,'原始数据'!$E$375,'原始数据'!$E$447,'原始数据'!$E$519)</x:f>
        <x:v>0.014183617310122276</x:v>
      </x:c>
    </x:row>
    <x:row r="88" ht="20" customHeight="1">
      <x:c r="A88" s="27" t="str">
        <x:v>CADE-IDS</x:v>
      </x:c>
      <x:c r="B88" s="30" t="str">
        <x:v>2013-12</x:v>
      </x:c>
      <x:c r="C88" s="51" t="n">
        <x:f>COUNT('原始数据'!$D$304,'原始数据'!$D$376,'原始数据'!$D$448,'原始数据'!$D$520)</x:f>
        <x:v>4</x:v>
      </x:c>
      <x:c r="D88" s="54" t="n">
        <x:f>AVERAGE('原始数据'!$D$304,'原始数据'!$D$376,'原始数据'!$D$448,'原始数据'!$D$520)</x:f>
        <x:v>0.879375</x:v>
      </x:c>
      <x:c r="E88" s="54" t="n">
        <x:f>AVERAGE('原始数据'!$E$304,'原始数据'!$E$376,'原始数据'!$E$448,'原始数据'!$E$520)</x:f>
        <x:v>0.1839</x:v>
      </x:c>
      <x:c r="F88" s="57" t="n">
        <x:f>MIN('原始数据'!$D$304,'原始数据'!$D$376,'原始数据'!$D$448,'原始数据'!$D$520)</x:f>
        <x:v>0.8712</x:v>
      </x:c>
      <x:c r="G88" s="57" t="n">
        <x:f>MAX('原始数据'!$E$304,'原始数据'!$E$376,'原始数据'!$E$448,'原始数据'!$E$520)</x:f>
        <x:v>0.1884</x:v>
      </x:c>
      <x:c r="H88" s="60" t="n">
        <x:f>STDEV.P('原始数据'!$D$304,'原始数据'!$D$376,'原始数据'!$D$448,'原始数据'!$D$520)</x:f>
        <x:v>0.00664544016600857</x:v>
      </x:c>
      <x:c r="I88" s="63" t="n">
        <x:f>STDEV.P('原始数据'!$E$304,'原始数据'!$E$376,'原始数据'!$E$448,'原始数据'!$E$520)</x:f>
        <x:v>0.0038405728739343077</x:v>
      </x:c>
    </x:row>
    <x:row r="89" ht="20" customHeight="1">
      <x:c r="A89" s="27" t="str">
        <x:v>CADE-IDS</x:v>
      </x:c>
      <x:c r="B89" s="30" t="str">
        <x:v>2014-01</x:v>
      </x:c>
      <x:c r="C89" s="51" t="n">
        <x:f>COUNT('原始数据'!$D$305,'原始数据'!$D$377,'原始数据'!$D$449,'原始数据'!$D$521)</x:f>
        <x:v>4</x:v>
      </x:c>
      <x:c r="D89" s="54" t="n">
        <x:f>AVERAGE('原始数据'!$D$305,'原始数据'!$D$377,'原始数据'!$D$449,'原始数据'!$D$521)</x:f>
        <x:v>0.84825</x:v>
      </x:c>
      <x:c r="E89" s="54" t="n">
        <x:f>AVERAGE('原始数据'!$E$305,'原始数据'!$E$377,'原始数据'!$E$449,'原始数据'!$E$521)</x:f>
        <x:v>0.206375</x:v>
      </x:c>
      <x:c r="F89" s="57" t="n">
        <x:f>MIN('原始数据'!$D$305,'原始数据'!$D$377,'原始数据'!$D$449,'原始数据'!$D$521)</x:f>
        <x:v>0.8123</x:v>
      </x:c>
      <x:c r="G89" s="57" t="n">
        <x:f>MAX('原始数据'!$E$305,'原始数据'!$E$377,'原始数据'!$E$449,'原始数据'!$E$521)</x:f>
        <x:v>0.2231</x:v>
      </x:c>
      <x:c r="H89" s="60" t="n">
        <x:f>STDEV.P('原始数据'!$D$305,'原始数据'!$D$377,'原始数据'!$D$449,'原始数据'!$D$521)</x:f>
        <x:v>0.020902212801519354</x:v>
      </x:c>
      <x:c r="I89" s="63" t="n">
        <x:f>STDEV.P('原始数据'!$E$305,'原始数据'!$E$377,'原始数据'!$E$449,'原始数据'!$E$521)</x:f>
        <x:v>0.011227059944615949</x:v>
      </x:c>
    </x:row>
    <x:row r="90" ht="20" customHeight="1">
      <x:c r="A90" s="27" t="str">
        <x:v>CADE-IDS</x:v>
      </x:c>
      <x:c r="B90" s="30" t="str">
        <x:v>2014-02</x:v>
      </x:c>
      <x:c r="C90" s="51" t="n">
        <x:f>COUNT('原始数据'!$D$306,'原始数据'!$D$378,'原始数据'!$D$450,'原始数据'!$D$522)</x:f>
        <x:v>4</x:v>
      </x:c>
      <x:c r="D90" s="54" t="n">
        <x:f>AVERAGE('原始数据'!$D$306,'原始数据'!$D$378,'原始数据'!$D$450,'原始数据'!$D$522)</x:f>
        <x:v>0.90265</x:v>
      </x:c>
      <x:c r="E90" s="54" t="n">
        <x:f>AVERAGE('原始数据'!$E$306,'原始数据'!$E$378,'原始数据'!$E$450,'原始数据'!$E$522)</x:f>
        <x:v>0.10255</x:v>
      </x:c>
      <x:c r="F90" s="57" t="n">
        <x:f>MIN('原始数据'!$D$306,'原始数据'!$D$378,'原始数据'!$D$450,'原始数据'!$D$522)</x:f>
        <x:v>0.8796</x:v>
      </x:c>
      <x:c r="G90" s="57" t="n">
        <x:f>MAX('原始数据'!$E$306,'原始数据'!$E$378,'原始数据'!$E$450,'原始数据'!$E$522)</x:f>
        <x:v>0.1152</x:v>
      </x:c>
      <x:c r="H90" s="60" t="n">
        <x:f>STDEV.P('原始数据'!$D$306,'原始数据'!$D$378,'原始数据'!$D$450,'原始数据'!$D$522)</x:f>
        <x:v>0.013895412912180738</x:v>
      </x:c>
      <x:c r="I90" s="63" t="n">
        <x:f>STDEV.P('原始数据'!$E$306,'原始数据'!$E$378,'原始数据'!$E$450,'原始数据'!$E$522)</x:f>
        <x:v>0.009742304655470385</x:v>
      </x:c>
    </x:row>
    <x:row r="91" ht="20" customHeight="1">
      <x:c r="A91" s="27" t="str">
        <x:v>CADE-IDS</x:v>
      </x:c>
      <x:c r="B91" s="30" t="str">
        <x:v>2014-03</x:v>
      </x:c>
      <x:c r="C91" s="51" t="n">
        <x:f>COUNT('原始数据'!$D$307,'原始数据'!$D$379,'原始数据'!$D$451,'原始数据'!$D$523)</x:f>
        <x:v>4</x:v>
      </x:c>
      <x:c r="D91" s="54" t="n">
        <x:f>AVERAGE('原始数据'!$D$307,'原始数据'!$D$379,'原始数据'!$D$451,'原始数据'!$D$523)</x:f>
        <x:v>0.85625</x:v>
      </x:c>
      <x:c r="E91" s="54" t="n">
        <x:f>AVERAGE('原始数据'!$E$307,'原始数据'!$E$379,'原始数据'!$E$451,'原始数据'!$E$523)</x:f>
        <x:v>0.150825</x:v>
      </x:c>
      <x:c r="F91" s="57" t="n">
        <x:f>MIN('原始数据'!$D$307,'原始数据'!$D$379,'原始数据'!$D$451,'原始数据'!$D$523)</x:f>
        <x:v>0.8236</x:v>
      </x:c>
      <x:c r="G91" s="57" t="n">
        <x:f>MAX('原始数据'!$E$307,'原始数据'!$E$379,'原始数据'!$E$451,'原始数据'!$E$523)</x:f>
        <x:v>0.1579</x:v>
      </x:c>
      <x:c r="H91" s="60" t="n">
        <x:f>STDEV.P('原始数据'!$D$307,'原始数据'!$D$379,'原始数据'!$D$451,'原始数据'!$D$523)</x:f>
        <x:v>0.019354392266356484</x:v>
      </x:c>
      <x:c r="I91" s="63" t="n">
        <x:f>STDEV.P('原始数据'!$E$307,'原始数据'!$E$379,'原始数据'!$E$451,'原始数据'!$E$523)</x:f>
        <x:v>0.007082151862252047</x:v>
      </x:c>
    </x:row>
    <x:row r="92" ht="20" customHeight="1">
      <x:c r="A92" s="27" t="str">
        <x:v>CADE-IDS</x:v>
      </x:c>
      <x:c r="B92" s="30" t="str">
        <x:v>2014-04</x:v>
      </x:c>
      <x:c r="C92" s="51" t="n">
        <x:f>COUNT('原始数据'!$D$308,'原始数据'!$D$380,'原始数据'!$D$452,'原始数据'!$D$524)</x:f>
        <x:v>4</x:v>
      </x:c>
      <x:c r="D92" s="54" t="n">
        <x:f>AVERAGE('原始数据'!$D$308,'原始数据'!$D$380,'原始数据'!$D$452,'原始数据'!$D$524)</x:f>
        <x:v>0.8477999999999999</x:v>
      </x:c>
      <x:c r="E92" s="54" t="n">
        <x:f>AVERAGE('原始数据'!$E$308,'原始数据'!$E$380,'原始数据'!$E$452,'原始数据'!$E$524)</x:f>
        <x:v>0.165925</x:v>
      </x:c>
      <x:c r="F92" s="57" t="n">
        <x:f>MIN('原始数据'!$D$308,'原始数据'!$D$380,'原始数据'!$D$452,'原始数据'!$D$524)</x:f>
        <x:v>0.8194</x:v>
      </x:c>
      <x:c r="G92" s="57" t="n">
        <x:f>MAX('原始数据'!$E$308,'原始数据'!$E$380,'原始数据'!$E$452,'原始数据'!$E$524)</x:f>
        <x:v>0.175</x:v>
      </x:c>
      <x:c r="H92" s="60" t="n">
        <x:f>STDEV.P('原始数据'!$D$308,'原始数据'!$D$380,'原始数据'!$D$452,'原始数据'!$D$524)</x:f>
        <x:v>0.01647968446299867</x:v>
      </x:c>
      <x:c r="I92" s="63" t="n">
        <x:f>STDEV.P('原始数据'!$E$308,'原始数据'!$E$380,'原始数据'!$E$452,'原始数据'!$E$524)</x:f>
        <x:v>0.007194225114631876</x:v>
      </x:c>
    </x:row>
    <x:row r="93" ht="20" customHeight="1">
      <x:c r="A93" s="27" t="str">
        <x:v>CADE-IDS</x:v>
      </x:c>
      <x:c r="B93" s="30" t="str">
        <x:v>2014-05</x:v>
      </x:c>
      <x:c r="C93" s="51" t="n">
        <x:f>COUNT('原始数据'!$D$309,'原始数据'!$D$381,'原始数据'!$D$453,'原始数据'!$D$525)</x:f>
        <x:v>4</x:v>
      </x:c>
      <x:c r="D93" s="54" t="n">
        <x:f>AVERAGE('原始数据'!$D$309,'原始数据'!$D$381,'原始数据'!$D$453,'原始数据'!$D$525)</x:f>
        <x:v>0.868375</x:v>
      </x:c>
      <x:c r="E93" s="54" t="n">
        <x:f>AVERAGE('原始数据'!$E$309,'原始数据'!$E$381,'原始数据'!$E$453,'原始数据'!$E$525)</x:f>
        <x:v>0.128275</x:v>
      </x:c>
      <x:c r="F93" s="57" t="n">
        <x:f>MIN('原始数据'!$D$309,'原始数据'!$D$381,'原始数据'!$D$453,'原始数据'!$D$525)</x:f>
        <x:v>0.8327</x:v>
      </x:c>
      <x:c r="G93" s="57" t="n">
        <x:f>MAX('原始数据'!$E$309,'原始数据'!$E$381,'原始数据'!$E$453,'原始数据'!$E$525)</x:f>
        <x:v>0.1348</x:v>
      </x:c>
      <x:c r="H93" s="60" t="n">
        <x:f>STDEV.P('原始数据'!$D$309,'原始数据'!$D$381,'原始数据'!$D$453,'原始数据'!$D$525)</x:f>
        <x:v>0.02149736902506909</x:v>
      </x:c>
      <x:c r="I93" s="63" t="n">
        <x:f>STDEV.P('原始数据'!$E$309,'原始数据'!$E$381,'原始数据'!$E$453,'原始数据'!$E$525)</x:f>
        <x:v>0.005012671443452085</x:v>
      </x:c>
    </x:row>
    <x:row r="94" ht="20" customHeight="1">
      <x:c r="A94" s="27" t="str">
        <x:v>CADE-IDS</x:v>
      </x:c>
      <x:c r="B94" s="30" t="str">
        <x:v>2014-06</x:v>
      </x:c>
      <x:c r="C94" s="51" t="n">
        <x:f>COUNT('原始数据'!$D$310,'原始数据'!$D$382,'原始数据'!$D$454,'原始数据'!$D$526)</x:f>
        <x:v>4</x:v>
      </x:c>
      <x:c r="D94" s="54" t="n">
        <x:f>AVERAGE('原始数据'!$D$310,'原始数据'!$D$382,'原始数据'!$D$454,'原始数据'!$D$526)</x:f>
        <x:v>0.7726999999999999</x:v>
      </x:c>
      <x:c r="E94" s="54" t="n">
        <x:f>AVERAGE('原始数据'!$E$310,'原始数据'!$E$382,'原始数据'!$E$454,'原始数据'!$E$526)</x:f>
        <x:v>0.31475</x:v>
      </x:c>
      <x:c r="F94" s="57" t="n">
        <x:f>MIN('原始数据'!$D$310,'原始数据'!$D$382,'原始数据'!$D$454,'原始数据'!$D$526)</x:f>
        <x:v>0.7368</x:v>
      </x:c>
      <x:c r="G94" s="57" t="n">
        <x:f>MAX('原始数据'!$E$310,'原始数据'!$E$382,'原始数据'!$E$454,'原始数据'!$E$526)</x:f>
        <x:v>0.3394</x:v>
      </x:c>
      <x:c r="H94" s="60" t="n">
        <x:f>STDEV.P('原始数据'!$D$310,'原始数据'!$D$382,'原始数据'!$D$454,'原始数据'!$D$526)</x:f>
        <x:v>0.02498149314992999</x:v>
      </x:c>
      <x:c r="I94" s="63" t="n">
        <x:f>STDEV.P('原始数据'!$E$310,'原始数据'!$E$382,'原始数据'!$E$454,'原始数据'!$E$526)</x:f>
        <x:v>0.023362630416971446</x:v>
      </x:c>
    </x:row>
    <x:row r="95" ht="20" customHeight="1">
      <x:c r="A95" s="27" t="str">
        <x:v>CADE-IDS</x:v>
      </x:c>
      <x:c r="B95" s="30" t="str">
        <x:v>2014-07</x:v>
      </x:c>
      <x:c r="C95" s="51" t="n">
        <x:f>COUNT('原始数据'!$D$311,'原始数据'!$D$383,'原始数据'!$D$455,'原始数据'!$D$527)</x:f>
        <x:v>4</x:v>
      </x:c>
      <x:c r="D95" s="54" t="n">
        <x:f>AVERAGE('原始数据'!$D$311,'原始数据'!$D$383,'原始数据'!$D$455,'原始数据'!$D$527)</x:f>
        <x:v>0.79305</x:v>
      </x:c>
      <x:c r="E95" s="54" t="n">
        <x:f>AVERAGE('原始数据'!$E$311,'原始数据'!$E$383,'原始数据'!$E$455,'原始数据'!$E$527)</x:f>
        <x:v>0.28404999999999997</x:v>
      </x:c>
      <x:c r="F95" s="57" t="n">
        <x:f>MIN('原始数据'!$D$311,'原始数据'!$D$383,'原始数据'!$D$455,'原始数据'!$D$527)</x:f>
        <x:v>0.7585</x:v>
      </x:c>
      <x:c r="G95" s="57" t="n">
        <x:f>MAX('原始数据'!$E$311,'原始数据'!$E$383,'原始数据'!$E$455,'原始数据'!$E$527)</x:f>
        <x:v>0.3106</x:v>
      </x:c>
      <x:c r="H95" s="60" t="n">
        <x:f>STDEV.P('原始数据'!$D$311,'原始数据'!$D$383,'原始数据'!$D$455,'原始数据'!$D$527)</x:f>
        <x:v>0.020544159754051772</x:v>
      </x:c>
      <x:c r="I95" s="63" t="n">
        <x:f>STDEV.P('原始数据'!$E$311,'原始数据'!$E$383,'原始数据'!$E$455,'原始数据'!$E$527)</x:f>
        <x:v>0.0188812737917758</x:v>
      </x:c>
    </x:row>
    <x:row r="96" ht="20" customHeight="1">
      <x:c r="A96" s="27" t="str">
        <x:v>CADE-IDS</x:v>
      </x:c>
      <x:c r="B96" s="30" t="str">
        <x:v>2014-08</x:v>
      </x:c>
      <x:c r="C96" s="51" t="n">
        <x:f>COUNT('原始数据'!$D$312,'原始数据'!$D$384,'原始数据'!$D$456,'原始数据'!$D$528)</x:f>
        <x:v>4</x:v>
      </x:c>
      <x:c r="D96" s="54" t="n">
        <x:f>AVERAGE('原始数据'!$D$312,'原始数据'!$D$384,'原始数据'!$D$456,'原始数据'!$D$528)</x:f>
        <x:v>0.8038</x:v>
      </x:c>
      <x:c r="E96" s="54" t="n">
        <x:f>AVERAGE('原始数据'!$E$312,'原始数据'!$E$384,'原始数据'!$E$456,'原始数据'!$E$528)</x:f>
        <x:v>0.2752</x:v>
      </x:c>
      <x:c r="F96" s="57" t="n">
        <x:f>MIN('原始数据'!$D$312,'原始数据'!$D$384,'原始数据'!$D$456,'原始数据'!$D$528)</x:f>
        <x:v>0.7316</x:v>
      </x:c>
      <x:c r="G96" s="57" t="n">
        <x:f>MAX('原始数据'!$E$312,'原始数据'!$E$384,'原始数据'!$E$456,'原始数据'!$E$528)</x:f>
        <x:v>0.3488</x:v>
      </x:c>
      <x:c r="H96" s="60" t="n">
        <x:f>STDEV.P('原始数据'!$D$312,'原始数据'!$D$384,'原始数据'!$D$456,'原始数据'!$D$528)</x:f>
        <x:v>0.04402232388232132</x:v>
      </x:c>
      <x:c r="I96" s="63" t="n">
        <x:f>STDEV.P('原始数据'!$E$312,'原始数据'!$E$384,'原始数据'!$E$456,'原始数据'!$E$528)</x:f>
        <x:v>0.04730808598960647</x:v>
      </x:c>
    </x:row>
    <x:row r="97" ht="20" customHeight="1">
      <x:c r="A97" s="27" t="str">
        <x:v>CADE-IDS</x:v>
      </x:c>
      <x:c r="B97" s="30" t="str">
        <x:v>2014-09</x:v>
      </x:c>
      <x:c r="C97" s="51" t="n">
        <x:f>COUNT('原始数据'!$D$313,'原始数据'!$D$385,'原始数据'!$D$457,'原始数据'!$D$529)</x:f>
        <x:v>4</x:v>
      </x:c>
      <x:c r="D97" s="54" t="n">
        <x:f>AVERAGE('原始数据'!$D$313,'原始数据'!$D$385,'原始数据'!$D$457,'原始数据'!$D$529)</x:f>
        <x:v>0.823825</x:v>
      </x:c>
      <x:c r="E97" s="54" t="n">
        <x:f>AVERAGE('原始数据'!$E$313,'原始数据'!$E$385,'原始数据'!$E$457,'原始数据'!$E$529)</x:f>
        <x:v>0.23992500000000003</x:v>
      </x:c>
      <x:c r="F97" s="57" t="n">
        <x:f>MIN('原始数据'!$D$313,'原始数据'!$D$385,'原始数据'!$D$457,'原始数据'!$D$529)</x:f>
        <x:v>0.7696</x:v>
      </x:c>
      <x:c r="G97" s="57" t="n">
        <x:f>MAX('原始数据'!$E$313,'原始数据'!$E$385,'原始数据'!$E$457,'原始数据'!$E$529)</x:f>
        <x:v>0.3033</x:v>
      </x:c>
      <x:c r="H97" s="60" t="n">
        <x:f>STDEV.P('原始数据'!$D$313,'原始数据'!$D$385,'原始数据'!$D$457,'原始数据'!$D$529)</x:f>
        <x:v>0.0344402653154705</x:v>
      </x:c>
      <x:c r="I97" s="63" t="n">
        <x:f>STDEV.P('原始数据'!$E$313,'原始数据'!$E$385,'原始数据'!$E$457,'原始数据'!$E$529)</x:f>
        <x:v>0.04333107285770802</x:v>
      </x:c>
    </x:row>
    <x:row r="98" ht="20" customHeight="1">
      <x:c r="A98" s="27" t="str">
        <x:v>CADE-IDS</x:v>
      </x:c>
      <x:c r="B98" s="30" t="str">
        <x:v>2014-10</x:v>
      </x:c>
      <x:c r="C98" s="51" t="n">
        <x:f>COUNT('原始数据'!$D$314,'原始数据'!$D$386,'原始数据'!$D$458,'原始数据'!$D$530)</x:f>
        <x:v>4</x:v>
      </x:c>
      <x:c r="D98" s="54" t="n">
        <x:f>AVERAGE('原始数据'!$D$314,'原始数据'!$D$386,'原始数据'!$D$458,'原始数据'!$D$530)</x:f>
        <x:v>0.7802499999999999</x:v>
      </x:c>
      <x:c r="E98" s="54" t="n">
        <x:f>AVERAGE('原始数据'!$E$314,'原始数据'!$E$386,'原始数据'!$E$458,'原始数据'!$E$530)</x:f>
        <x:v>0.311875</x:v>
      </x:c>
      <x:c r="F98" s="57" t="n">
        <x:f>MIN('原始数据'!$D$314,'原始数据'!$D$386,'原始数据'!$D$458,'原始数据'!$D$530)</x:f>
        <x:v>0.6833</x:v>
      </x:c>
      <x:c r="G98" s="57" t="n">
        <x:f>MAX('原始数据'!$E$314,'原始数据'!$E$386,'原始数据'!$E$458,'原始数据'!$E$530)</x:f>
        <x:v>0.4397</x:v>
      </x:c>
      <x:c r="H98" s="60" t="n">
        <x:f>STDEV.P('原始数据'!$D$314,'原始数据'!$D$386,'原始数据'!$D$458,'原始数据'!$D$530)</x:f>
        <x:v>0.05736203012446474</x:v>
      </x:c>
      <x:c r="I98" s="63" t="n">
        <x:f>STDEV.P('原始数据'!$E$314,'原始数据'!$E$386,'原始数据'!$E$458,'原始数据'!$E$530)</x:f>
        <x:v>0.07617133236986208</x:v>
      </x:c>
    </x:row>
    <x:row r="99" ht="20" customHeight="1">
      <x:c r="A99" s="27" t="str">
        <x:v>CADE-IDS</x:v>
      </x:c>
      <x:c r="B99" s="30" t="str">
        <x:v>2014-11</x:v>
      </x:c>
      <x:c r="C99" s="51" t="n">
        <x:f>COUNT('原始数据'!$D$315,'原始数据'!$D$387,'原始数据'!$D$459,'原始数据'!$D$531)</x:f>
        <x:v>4</x:v>
      </x:c>
      <x:c r="D99" s="54" t="n">
        <x:f>AVERAGE('原始数据'!$D$315,'原始数据'!$D$387,'原始数据'!$D$459,'原始数据'!$D$531)</x:f>
        <x:v>0.86655</x:v>
      </x:c>
      <x:c r="E99" s="54" t="n">
        <x:f>AVERAGE('原始数据'!$E$315,'原始数据'!$E$387,'原始数据'!$E$459,'原始数据'!$E$531)</x:f>
        <x:v>0.17695000000000002</x:v>
      </x:c>
      <x:c r="F99" s="57" t="n">
        <x:f>MIN('原始数据'!$D$315,'原始数据'!$D$387,'原始数据'!$D$459,'原始数据'!$D$531)</x:f>
        <x:v>0.7703</x:v>
      </x:c>
      <x:c r="G99" s="57" t="n">
        <x:f>MAX('原始数据'!$E$315,'原始数据'!$E$387,'原始数据'!$E$459,'原始数据'!$E$531)</x:f>
        <x:v>0.3266</x:v>
      </x:c>
      <x:c r="H99" s="60" t="n">
        <x:f>STDEV.P('原始数据'!$D$315,'原始数据'!$D$387,'原始数据'!$D$459,'原始数据'!$D$531)</x:f>
        <x:v>0.05591084420754171</x:v>
      </x:c>
      <x:c r="I99" s="63" t="n">
        <x:f>STDEV.P('原始数据'!$E$315,'原始数据'!$E$387,'原始数据'!$E$459,'原始数据'!$E$531)</x:f>
        <x:v>0.08717492472035752</x:v>
      </x:c>
    </x:row>
    <x:row r="100" ht="20" customHeight="1">
      <x:c r="A100" s="27" t="str">
        <x:v>CADE-IDS</x:v>
      </x:c>
      <x:c r="B100" s="30" t="str">
        <x:v>2014-12</x:v>
      </x:c>
      <x:c r="C100" s="51" t="n">
        <x:f>COUNT('原始数据'!$D$316,'原始数据'!$D$388,'原始数据'!$D$460,'原始数据'!$D$532)</x:f>
        <x:v>4</x:v>
      </x:c>
      <x:c r="D100" s="54" t="n">
        <x:f>AVERAGE('原始数据'!$D$316,'原始数据'!$D$388,'原始数据'!$D$460,'原始数据'!$D$532)</x:f>
        <x:v>0.8419500000000001</x:v>
      </x:c>
      <x:c r="E100" s="54" t="n">
        <x:f>AVERAGE('原始数据'!$E$316,'原始数据'!$E$388,'原始数据'!$E$460,'原始数据'!$E$532)</x:f>
        <x:v>0.232775</x:v>
      </x:c>
      <x:c r="F100" s="57" t="n">
        <x:f>MIN('原始数据'!$D$316,'原始数据'!$D$388,'原始数据'!$D$460,'原始数据'!$D$532)</x:f>
        <x:v>0.7874</x:v>
      </x:c>
      <x:c r="G100" s="57" t="n">
        <x:f>MAX('原始数据'!$E$316,'原始数据'!$E$388,'原始数据'!$E$460,'原始数据'!$E$532)</x:f>
        <x:v>0.2901</x:v>
      </x:c>
      <x:c r="H100" s="60" t="n">
        <x:f>STDEV.P('原始数据'!$D$316,'原始数据'!$D$388,'原始数据'!$D$460,'原始数据'!$D$532)</x:f>
        <x:v>0.03210221954943305</x:v>
      </x:c>
      <x:c r="I100" s="63" t="n">
        <x:f>STDEV.P('原始数据'!$E$316,'原始数据'!$E$388,'原始数据'!$E$460,'原始数据'!$E$532)</x:f>
        <x:v>0.03424137665164764</x:v>
      </x:c>
    </x:row>
    <x:row r="101" ht="20" customHeight="1">
      <x:c r="A101" s="27" t="str">
        <x:v>CADE-IDS</x:v>
      </x:c>
      <x:c r="B101" s="30" t="str">
        <x:v>2015-01</x:v>
      </x:c>
      <x:c r="C101" s="51" t="n">
        <x:f>COUNT('原始数据'!$D$317,'原始数据'!$D$389,'原始数据'!$D$461,'原始数据'!$D$533)</x:f>
        <x:v>4</x:v>
      </x:c>
      <x:c r="D101" s="54" t="n">
        <x:f>AVERAGE('原始数据'!$D$317,'原始数据'!$D$389,'原始数据'!$D$461,'原始数据'!$D$533)</x:f>
        <x:v>0.8556</x:v>
      </x:c>
      <x:c r="E101" s="54" t="n">
        <x:f>AVERAGE('原始数据'!$E$317,'原始数据'!$E$389,'原始数据'!$E$461,'原始数据'!$E$533)</x:f>
        <x:v>0.216025</x:v>
      </x:c>
      <x:c r="F101" s="57" t="n">
        <x:f>MIN('原始数据'!$D$317,'原始数据'!$D$389,'原始数据'!$D$461,'原始数据'!$D$533)</x:f>
        <x:v>0.8167</x:v>
      </x:c>
      <x:c r="G101" s="57" t="n">
        <x:f>MAX('原始数据'!$E$317,'原始数据'!$E$389,'原始数据'!$E$461,'原始数据'!$E$533)</x:f>
        <x:v>0.2636</x:v>
      </x:c>
      <x:c r="H101" s="60" t="n">
        <x:f>STDEV.P('原始数据'!$D$317,'原始数据'!$D$389,'原始数据'!$D$461,'原始数据'!$D$533)</x:f>
        <x:v>0.02333248807992841</x:v>
      </x:c>
      <x:c r="I101" s="63" t="n">
        <x:f>STDEV.P('原始数据'!$E$317,'原始数据'!$E$389,'原始数据'!$E$461,'原始数据'!$E$533)</x:f>
        <x:v>0.02995900323775809</x:v>
      </x:c>
    </x:row>
    <x:row r="102" ht="20" customHeight="1">
      <x:c r="A102" s="27" t="str">
        <x:v>CADE-IDS</x:v>
      </x:c>
      <x:c r="B102" s="30" t="str">
        <x:v>2015-02</x:v>
      </x:c>
      <x:c r="C102" s="51" t="n">
        <x:f>COUNT('原始数据'!$D$318,'原始数据'!$D$390,'原始数据'!$D$462,'原始数据'!$D$534)</x:f>
        <x:v>4</x:v>
      </x:c>
      <x:c r="D102" s="54" t="n">
        <x:f>AVERAGE('原始数据'!$D$318,'原始数据'!$D$390,'原始数据'!$D$462,'原始数据'!$D$534)</x:f>
        <x:v>0.9061250000000001</x:v>
      </x:c>
      <x:c r="E102" s="54" t="n">
        <x:f>AVERAGE('原始数据'!$E$318,'原始数据'!$E$390,'原始数据'!$E$462,'原始数据'!$E$534)</x:f>
        <x:v>0.12605</x:v>
      </x:c>
      <x:c r="F102" s="57" t="n">
        <x:f>MIN('原始数据'!$D$318,'原始数据'!$D$390,'原始数据'!$D$462,'原始数据'!$D$534)</x:f>
        <x:v>0.8728</x:v>
      </x:c>
      <x:c r="G102" s="57" t="n">
        <x:f>MAX('原始数据'!$E$318,'原始数据'!$E$390,'原始数据'!$E$462,'原始数据'!$E$534)</x:f>
        <x:v>0.1743</x:v>
      </x:c>
      <x:c r="H102" s="60" t="n">
        <x:f>STDEV.P('原始数据'!$D$318,'原始数据'!$D$390,'原始数据'!$D$462,'原始数据'!$D$534)</x:f>
        <x:v>0.02038226864213107</x:v>
      </x:c>
      <x:c r="I102" s="63" t="n">
        <x:f>STDEV.P('原始数据'!$E$318,'原始数据'!$E$390,'原始数据'!$E$462,'原始数据'!$E$534)</x:f>
        <x:v>0.03186287024108155</x:v>
      </x:c>
    </x:row>
    <x:row r="103" ht="20" customHeight="1">
      <x:c r="A103" s="27" t="str">
        <x:v>CADE-IDS</x:v>
      </x:c>
      <x:c r="B103" s="30" t="str">
        <x:v>2015-03</x:v>
      </x:c>
      <x:c r="C103" s="51" t="n">
        <x:f>COUNT('原始数据'!$D$319,'原始数据'!$D$391,'原始数据'!$D$463,'原始数据'!$D$535)</x:f>
        <x:v>4</x:v>
      </x:c>
      <x:c r="D103" s="54" t="n">
        <x:f>AVERAGE('原始数据'!$D$319,'原始数据'!$D$391,'原始数据'!$D$463,'原始数据'!$D$535)</x:f>
        <x:v>0.8873</x:v>
      </x:c>
      <x:c r="E103" s="54" t="n">
        <x:f>AVERAGE('原始数据'!$E$319,'原始数据'!$E$391,'原始数据'!$E$463,'原始数据'!$E$535)</x:f>
        <x:v>0.173575</x:v>
      </x:c>
      <x:c r="F103" s="57" t="n">
        <x:f>MIN('原始数据'!$D$319,'原始数据'!$D$391,'原始数据'!$D$463,'原始数据'!$D$535)</x:f>
        <x:v>0.8339</x:v>
      </x:c>
      <x:c r="G103" s="57" t="n">
        <x:f>MAX('原始数据'!$E$319,'原始数据'!$E$391,'原始数据'!$E$463,'原始数据'!$E$535)</x:f>
        <x:v>0.259</x:v>
      </x:c>
      <x:c r="H103" s="60" t="n">
        <x:f>STDEV.P('原始数据'!$D$319,'原始数据'!$D$391,'原始数据'!$D$463,'原始数据'!$D$535)</x:f>
        <x:v>0.03762366276693435</x:v>
      </x:c>
      <x:c r="I103" s="63" t="n">
        <x:f>STDEV.P('原始数据'!$E$319,'原始数据'!$E$391,'原始数据'!$E$463,'原始数据'!$E$535)</x:f>
        <x:v>0.06021741338682691</x:v>
      </x:c>
    </x:row>
    <x:row r="104" ht="20" customHeight="1">
      <x:c r="A104" s="27" t="str">
        <x:v>CADE-IDS</x:v>
      </x:c>
      <x:c r="B104" s="30" t="str">
        <x:v>2015-04</x:v>
      </x:c>
      <x:c r="C104" s="51" t="n">
        <x:f>COUNT('原始数据'!$D$320,'原始数据'!$D$392,'原始数据'!$D$464,'原始数据'!$D$536)</x:f>
        <x:v>4</x:v>
      </x:c>
      <x:c r="D104" s="54" t="n">
        <x:f>AVERAGE('原始数据'!$D$320,'原始数据'!$D$392,'原始数据'!$D$464,'原始数据'!$D$536)</x:f>
        <x:v>0.908025</x:v>
      </x:c>
      <x:c r="E104" s="54" t="n">
        <x:f>AVERAGE('原始数据'!$E$320,'原始数据'!$E$392,'原始数据'!$E$464,'原始数据'!$E$536)</x:f>
        <x:v>0.1231</x:v>
      </x:c>
      <x:c r="F104" s="57" t="n">
        <x:f>MIN('原始数据'!$D$320,'原始数据'!$D$392,'原始数据'!$D$464,'原始数据'!$D$536)</x:f>
        <x:v>0.8712</x:v>
      </x:c>
      <x:c r="G104" s="57" t="n">
        <x:f>MAX('原始数据'!$E$320,'原始数据'!$E$392,'原始数据'!$E$464,'原始数据'!$E$536)</x:f>
        <x:v>0.182</x:v>
      </x:c>
      <x:c r="H104" s="60" t="n">
        <x:f>STDEV.P('原始数据'!$D$320,'原始数据'!$D$392,'原始数据'!$D$464,'原始数据'!$D$536)</x:f>
        <x:v>0.023930041266157494</x:v>
      </x:c>
      <x:c r="I104" s="63" t="n">
        <x:f>STDEV.P('原始数据'!$E$320,'原始数据'!$E$392,'原始数据'!$E$464,'原始数据'!$E$536)</x:f>
        <x:v>0.040761072115438765</x:v>
      </x:c>
    </x:row>
    <x:row r="105" ht="20" customHeight="1">
      <x:c r="A105" s="27" t="str">
        <x:v>CADE-IDS</x:v>
      </x:c>
      <x:c r="B105" s="30" t="str">
        <x:v>2015-05</x:v>
      </x:c>
      <x:c r="C105" s="51" t="n">
        <x:f>COUNT('原始数据'!$D$321,'原始数据'!$D$393,'原始数据'!$D$465,'原始数据'!$D$537)</x:f>
        <x:v>4</x:v>
      </x:c>
      <x:c r="D105" s="54" t="n">
        <x:f>AVERAGE('原始数据'!$D$321,'原始数据'!$D$393,'原始数据'!$D$465,'原始数据'!$D$537)</x:f>
        <x:v>0.8992500000000001</x:v>
      </x:c>
      <x:c r="E105" s="54" t="n">
        <x:f>AVERAGE('原始数据'!$E$321,'原始数据'!$E$393,'原始数据'!$E$465,'原始数据'!$E$537)</x:f>
        <x:v>0.15259999999999999</x:v>
      </x:c>
      <x:c r="F105" s="57" t="n">
        <x:f>MIN('原始数据'!$D$321,'原始数据'!$D$393,'原始数据'!$D$465,'原始数据'!$D$537)</x:f>
        <x:v>0.8695</x:v>
      </x:c>
      <x:c r="G105" s="57" t="n">
        <x:f>MAX('原始数据'!$E$321,'原始数据'!$E$393,'原始数据'!$E$465,'原始数据'!$E$537)</x:f>
        <x:v>0.205</x:v>
      </x:c>
      <x:c r="H105" s="60" t="n">
        <x:f>STDEV.P('原始数据'!$D$321,'原始数据'!$D$393,'原始数据'!$D$465,'原始数据'!$D$537)</x:f>
        <x:v>0.018001458274262108</x:v>
      </x:c>
      <x:c r="I105" s="63" t="n">
        <x:f>STDEV.P('原始数据'!$E$321,'原始数据'!$E$393,'原始数据'!$E$465,'原始数据'!$E$537)</x:f>
        <x:v>0.03270909659406692</x:v>
      </x:c>
    </x:row>
    <x:row r="106" ht="20" customHeight="1">
      <x:c r="A106" s="27" t="str">
        <x:v>CADE-IDS</x:v>
      </x:c>
      <x:c r="B106" s="30" t="str">
        <x:v>2015-06</x:v>
      </x:c>
      <x:c r="C106" s="51" t="n">
        <x:f>COUNT('原始数据'!$D$322,'原始数据'!$D$394,'原始数据'!$D$466,'原始数据'!$D$538)</x:f>
        <x:v>4</x:v>
      </x:c>
      <x:c r="D106" s="54" t="n">
        <x:f>AVERAGE('原始数据'!$D$322,'原始数据'!$D$394,'原始数据'!$D$466,'原始数据'!$D$538)</x:f>
        <x:v>0.9001750000000001</x:v>
      </x:c>
      <x:c r="E106" s="54" t="n">
        <x:f>AVERAGE('原始数据'!$E$322,'原始数据'!$E$394,'原始数据'!$E$466,'原始数据'!$E$538)</x:f>
        <x:v>0.15264999999999998</x:v>
      </x:c>
      <x:c r="F106" s="57" t="n">
        <x:f>MIN('原始数据'!$D$322,'原始数据'!$D$394,'原始数据'!$D$466,'原始数据'!$D$538)</x:f>
        <x:v>0.8526</x:v>
      </x:c>
      <x:c r="G106" s="57" t="n">
        <x:f>MAX('原始数据'!$E$322,'原始数据'!$E$394,'原始数据'!$E$466,'原始数据'!$E$538)</x:f>
        <x:v>0.2407</x:v>
      </x:c>
      <x:c r="H106" s="60" t="n">
        <x:f>STDEV.P('原始数据'!$D$322,'原始数据'!$D$394,'原始数据'!$D$466,'原始数据'!$D$538)</x:f>
        <x:v>0.02882467475965687</x:v>
      </x:c>
      <x:c r="I106" s="63" t="n">
        <x:f>STDEV.P('原始数据'!$E$322,'原始数据'!$E$394,'原始数据'!$E$466,'原始数据'!$E$538)</x:f>
        <x:v>0.05414750686781433</x:v>
      </x:c>
    </x:row>
    <x:row r="107" ht="20" customHeight="1">
      <x:c r="A107" s="27" t="str">
        <x:v>CADE-IDS</x:v>
      </x:c>
      <x:c r="B107" s="30" t="str">
        <x:v>2015-07</x:v>
      </x:c>
      <x:c r="C107" s="51" t="n">
        <x:f>COUNT('原始数据'!$D$323,'原始数据'!$D$395,'原始数据'!$D$467,'原始数据'!$D$539)</x:f>
        <x:v>4</x:v>
      </x:c>
      <x:c r="D107" s="54" t="n">
        <x:f>AVERAGE('原始数据'!$D$323,'原始数据'!$D$395,'原始数据'!$D$467,'原始数据'!$D$539)</x:f>
        <x:v>0.8833500000000001</x:v>
      </x:c>
      <x:c r="E107" s="54" t="n">
        <x:f>AVERAGE('原始数据'!$E$323,'原始数据'!$E$395,'原始数据'!$E$467,'原始数据'!$E$539)</x:f>
        <x:v>0.175025</x:v>
      </x:c>
      <x:c r="F107" s="57" t="n">
        <x:f>MIN('原始数据'!$D$323,'原始数据'!$D$395,'原始数据'!$D$467,'原始数据'!$D$539)</x:f>
        <x:v>0.8475</x:v>
      </x:c>
      <x:c r="G107" s="57" t="n">
        <x:f>MAX('原始数据'!$E$323,'原始数据'!$E$395,'原始数据'!$E$467,'原始数据'!$E$539)</x:f>
        <x:v>0.2369</x:v>
      </x:c>
      <x:c r="H107" s="60" t="n">
        <x:f>STDEV.P('原始数据'!$D$323,'原始数据'!$D$395,'原始数据'!$D$467,'原始数据'!$D$539)</x:f>
        <x:v>0.020799338931802597</x:v>
      </x:c>
      <x:c r="I107" s="63" t="n">
        <x:f>STDEV.P('原始数据'!$E$323,'原始数据'!$E$395,'原始数据'!$E$467,'原始数据'!$E$539)</x:f>
        <x:v>0.03637597936825894</x:v>
      </x:c>
    </x:row>
    <x:row r="108" ht="20" customHeight="1">
      <x:c r="A108" s="27" t="str">
        <x:v>CADE-IDS</x:v>
      </x:c>
      <x:c r="B108" s="30" t="str">
        <x:v>2015-08</x:v>
      </x:c>
      <x:c r="C108" s="51" t="n">
        <x:f>COUNT('原始数据'!$D$324,'原始数据'!$D$396,'原始数据'!$D$468,'原始数据'!$D$540)</x:f>
        <x:v>4</x:v>
      </x:c>
      <x:c r="D108" s="54" t="n">
        <x:f>AVERAGE('原始数据'!$D$324,'原始数据'!$D$396,'原始数据'!$D$468,'原始数据'!$D$540)</x:f>
        <x:v>0.9229999999999999</x:v>
      </x:c>
      <x:c r="E108" s="54" t="n">
        <x:f>AVERAGE('原始数据'!$E$324,'原始数据'!$E$396,'原始数据'!$E$468,'原始数据'!$E$540)</x:f>
        <x:v>0.12010000000000001</x:v>
      </x:c>
      <x:c r="F108" s="57" t="n">
        <x:f>MIN('原始数据'!$D$324,'原始数据'!$D$396,'原始数据'!$D$468,'原始数据'!$D$540)</x:f>
        <x:v>0.9014</x:v>
      </x:c>
      <x:c r="G108" s="57" t="n">
        <x:f>MAX('原始数据'!$E$324,'原始数据'!$E$396,'原始数据'!$E$468,'原始数据'!$E$540)</x:f>
        <x:v>0.1634</x:v>
      </x:c>
      <x:c r="H108" s="60" t="n">
        <x:f>STDEV.P('原始数据'!$D$324,'原始数据'!$D$396,'原始数据'!$D$468,'原始数据'!$D$540)</x:f>
        <x:v>0.01602186006679626</x:v>
      </x:c>
      <x:c r="I108" s="63" t="n">
        <x:f>STDEV.P('原始数据'!$E$324,'原始数据'!$E$396,'原始数据'!$E$468,'原始数据'!$E$540)</x:f>
        <x:v>0.030430330264392465</x:v>
      </x:c>
    </x:row>
    <x:row r="109" ht="20" customHeight="1">
      <x:c r="A109" s="27" t="str">
        <x:v>CADE-IDS</x:v>
      </x:c>
      <x:c r="B109" s="30" t="str">
        <x:v>2015-09</x:v>
      </x:c>
      <x:c r="C109" s="51" t="n">
        <x:f>COUNT('原始数据'!$D$325,'原始数据'!$D$397,'原始数据'!$D$469,'原始数据'!$D$541)</x:f>
        <x:v>4</x:v>
      </x:c>
      <x:c r="D109" s="54" t="n">
        <x:f>AVERAGE('原始数据'!$D$325,'原始数据'!$D$397,'原始数据'!$D$469,'原始数据'!$D$541)</x:f>
        <x:v>0.8230249999999999</x:v>
      </x:c>
      <x:c r="E109" s="54" t="n">
        <x:f>AVERAGE('原始数据'!$E$325,'原始数据'!$E$397,'原始数据'!$E$469,'原始数据'!$E$541)</x:f>
        <x:v>0.271275</x:v>
      </x:c>
      <x:c r="F109" s="57" t="n">
        <x:f>MIN('原始数据'!$D$325,'原始数据'!$D$397,'原始数据'!$D$469,'原始数据'!$D$541)</x:f>
        <x:v>0.7817</x:v>
      </x:c>
      <x:c r="G109" s="57" t="n">
        <x:f>MAX('原始数据'!$E$325,'原始数据'!$E$397,'原始数据'!$E$469,'原始数据'!$E$541)</x:f>
        <x:v>0.3278</x:v>
      </x:c>
      <x:c r="H109" s="60" t="n">
        <x:f>STDEV.P('原始数据'!$D$325,'原始数据'!$D$397,'原始数据'!$D$469,'原始数据'!$D$541)</x:f>
        <x:v>0.027019194566085813</x:v>
      </x:c>
      <x:c r="I109" s="63" t="n">
        <x:f>STDEV.P('原始数据'!$E$325,'原始数据'!$E$397,'原始数据'!$E$469,'原始数据'!$E$541)</x:f>
        <x:v>0.03872901851325437</x:v>
      </x:c>
    </x:row>
    <x:row r="110" ht="20" customHeight="1">
      <x:c r="A110" s="27" t="str">
        <x:v>CADE-IDS</x:v>
      </x:c>
      <x:c r="B110" s="30" t="str">
        <x:v>2015-10</x:v>
      </x:c>
      <x:c r="C110" s="51" t="n">
        <x:f>COUNT('原始数据'!$D$326,'原始数据'!$D$398,'原始数据'!$D$470,'原始数据'!$D$542)</x:f>
        <x:v>4</x:v>
      </x:c>
      <x:c r="D110" s="54" t="n">
        <x:f>AVERAGE('原始数据'!$D$326,'原始数据'!$D$398,'原始数据'!$D$470,'原始数据'!$D$542)</x:f>
        <x:v>0.78165</x:v>
      </x:c>
      <x:c r="E110" s="54" t="n">
        <x:f>AVERAGE('原始数据'!$E$326,'原始数据'!$E$398,'原始数据'!$E$470,'原始数据'!$E$542)</x:f>
        <x:v>0.32475000000000004</x:v>
      </x:c>
      <x:c r="F110" s="57" t="n">
        <x:f>MIN('原始数据'!$D$326,'原始数据'!$D$398,'原始数据'!$D$470,'原始数据'!$D$542)</x:f>
        <x:v>0.7154</x:v>
      </x:c>
      <x:c r="G110" s="57" t="n">
        <x:f>MAX('原始数据'!$E$326,'原始数据'!$E$398,'原始数据'!$E$470,'原始数据'!$E$542)</x:f>
        <x:v>0.4126</x:v>
      </x:c>
      <x:c r="H110" s="60" t="n">
        <x:f>STDEV.P('原始数据'!$D$326,'原始数据'!$D$398,'原始数据'!$D$470,'原始数据'!$D$542)</x:f>
        <x:v>0.04271969686222034</x:v>
      </x:c>
      <x:c r="I110" s="63" t="n">
        <x:f>STDEV.P('原始数据'!$E$326,'原始数据'!$E$398,'原始数据'!$E$470,'原始数据'!$E$542)</x:f>
        <x:v>0.05802777352268482</x:v>
      </x:c>
    </x:row>
    <x:row r="111" ht="20" customHeight="1">
      <x:c r="A111" s="27" t="str">
        <x:v>CADE-IDS</x:v>
      </x:c>
      <x:c r="B111" s="30" t="str">
        <x:v>2015-11</x:v>
      </x:c>
      <x:c r="C111" s="51" t="n">
        <x:f>COUNT('原始数据'!$D$327,'原始数据'!$D$399,'原始数据'!$D$471,'原始数据'!$D$543)</x:f>
        <x:v>4</x:v>
      </x:c>
      <x:c r="D111" s="54" t="n">
        <x:f>AVERAGE('原始数据'!$D$327,'原始数据'!$D$399,'原始数据'!$D$471,'原始数据'!$D$543)</x:f>
        <x:v>0.8780749999999999</x:v>
      </x:c>
      <x:c r="E111" s="54" t="n">
        <x:f>AVERAGE('原始数据'!$E$327,'原始数据'!$E$399,'原始数据'!$E$471,'原始数据'!$E$543)</x:f>
        <x:v>0.18187499999999998</x:v>
      </x:c>
      <x:c r="F111" s="57" t="n">
        <x:f>MIN('原始数据'!$D$327,'原始数据'!$D$399,'原始数据'!$D$471,'原始数据'!$D$543)</x:f>
        <x:v>0.8382</x:v>
      </x:c>
      <x:c r="G111" s="57" t="n">
        <x:f>MAX('原始数据'!$E$327,'原始数据'!$E$399,'原始数据'!$E$471,'原始数据'!$E$543)</x:f>
        <x:v>0.2623</x:v>
      </x:c>
      <x:c r="H111" s="60" t="n">
        <x:f>STDEV.P('原始数据'!$D$327,'原始数据'!$D$399,'原始数据'!$D$471,'原始数据'!$D$543)</x:f>
        <x:v>0.04626674696798987</x:v>
      </x:c>
      <x:c r="I111" s="63" t="n">
        <x:f>STDEV.P('原始数据'!$E$327,'原始数据'!$E$399,'原始数据'!$E$471,'原始数据'!$E$543)</x:f>
        <x:v>0.08205846619941175</x:v>
      </x:c>
    </x:row>
    <x:row r="112" ht="20" customHeight="1">
      <x:c r="A112" s="27" t="str">
        <x:v>CADE-IDS</x:v>
      </x:c>
      <x:c r="B112" s="30" t="str">
        <x:v>2015-12</x:v>
      </x:c>
      <x:c r="C112" s="51" t="n">
        <x:f>COUNT('原始数据'!$D$328,'原始数据'!$D$400,'原始数据'!$D$472,'原始数据'!$D$544)</x:f>
        <x:v>4</x:v>
      </x:c>
      <x:c r="D112" s="54" t="n">
        <x:f>AVERAGE('原始数据'!$D$328,'原始数据'!$D$400,'原始数据'!$D$472,'原始数据'!$D$544)</x:f>
        <x:v>0.9022</x:v>
      </x:c>
      <x:c r="E112" s="54" t="n">
        <x:f>AVERAGE('原始数据'!$E$328,'原始数据'!$E$400,'原始数据'!$E$472,'原始数据'!$E$544)</x:f>
        <x:v>0.13045</x:v>
      </x:c>
      <x:c r="F112" s="57" t="n">
        <x:f>MIN('原始数据'!$D$328,'原始数据'!$D$400,'原始数据'!$D$472,'原始数据'!$D$544)</x:f>
        <x:v>0.8777</x:v>
      </x:c>
      <x:c r="G112" s="57" t="n">
        <x:f>MAX('原始数据'!$E$328,'原始数据'!$E$400,'原始数据'!$E$472,'原始数据'!$E$544)</x:f>
        <x:v>0.1642</x:v>
      </x:c>
      <x:c r="H112" s="60" t="n">
        <x:f>STDEV.P('原始数据'!$D$328,'原始数据'!$D$400,'原始数据'!$D$472,'原始数据'!$D$544)</x:f>
        <x:v>0.02467822927197168</x:v>
      </x:c>
      <x:c r="I112" s="63" t="n">
        <x:f>STDEV.P('原始数据'!$E$328,'原始数据'!$E$400,'原始数据'!$E$472,'原始数据'!$E$544)</x:f>
        <x:v>0.039077135258357924</x:v>
      </x:c>
    </x:row>
    <x:row r="113" ht="20" customHeight="1">
      <x:c r="A113" s="27" t="str">
        <x:v>CADE-IDS</x:v>
      </x:c>
      <x:c r="B113" s="30" t="str">
        <x:v>2016-01</x:v>
      </x:c>
      <x:c r="C113" s="51" t="n">
        <x:f>COUNT('原始数据'!$D$329,'原始数据'!$D$401,'原始数据'!$D$473,'原始数据'!$D$545)</x:f>
        <x:v>4</x:v>
      </x:c>
      <x:c r="D113" s="54" t="n">
        <x:f>AVERAGE('原始数据'!$D$329,'原始数据'!$D$401,'原始数据'!$D$473,'原始数据'!$D$545)</x:f>
        <x:v>0.8859999999999999</x:v>
      </x:c>
      <x:c r="E113" s="54" t="n">
        <x:f>AVERAGE('原始数据'!$E$329,'原始数据'!$E$401,'原始数据'!$E$473,'原始数据'!$E$545)</x:f>
        <x:v>0.17775</x:v>
      </x:c>
      <x:c r="F113" s="57" t="n">
        <x:f>MIN('原始数据'!$D$329,'原始数据'!$D$401,'原始数据'!$D$473,'原始数据'!$D$545)</x:f>
        <x:v>0.8325</x:v>
      </x:c>
      <x:c r="G113" s="57" t="n">
        <x:f>MAX('原始数据'!$E$329,'原始数据'!$E$401,'原始数据'!$E$473,'原始数据'!$E$545)</x:f>
        <x:v>0.2706</x:v>
      </x:c>
      <x:c r="H113" s="60" t="n">
        <x:f>STDEV.P('原始数据'!$D$329,'原始数据'!$D$401,'原始数据'!$D$473,'原始数据'!$D$545)</x:f>
        <x:v>0.03247106404169717</x:v>
      </x:c>
      <x:c r="I113" s="63" t="n">
        <x:f>STDEV.P('原始数据'!$E$329,'原始数据'!$E$401,'原始数据'!$E$473,'原始数据'!$E$545)</x:f>
        <x:v>0.057668557290780215</x:v>
      </x:c>
    </x:row>
    <x:row r="114" ht="20" customHeight="1">
      <x:c r="A114" s="27" t="str">
        <x:v>CADE-IDS</x:v>
      </x:c>
      <x:c r="B114" s="30" t="str">
        <x:v>2016-02</x:v>
      </x:c>
      <x:c r="C114" s="51" t="n">
        <x:f>COUNT('原始数据'!$D$330,'原始数据'!$D$402,'原始数据'!$D$474,'原始数据'!$D$546)</x:f>
        <x:v>4</x:v>
      </x:c>
      <x:c r="D114" s="54" t="n">
        <x:f>AVERAGE('原始数据'!$D$330,'原始数据'!$D$402,'原始数据'!$D$474,'原始数据'!$D$546)</x:f>
        <x:v>0.9296</x:v>
      </x:c>
      <x:c r="E114" s="54" t="n">
        <x:f>AVERAGE('原始数据'!$E$330,'原始数据'!$E$402,'原始数据'!$E$474,'原始数据'!$E$546)</x:f>
        <x:v>0.096775</x:v>
      </x:c>
      <x:c r="F114" s="57" t="n">
        <x:f>MIN('原始数据'!$D$330,'原始数据'!$D$402,'原始数据'!$D$474,'原始数据'!$D$546)</x:f>
        <x:v>0.9084</x:v>
      </x:c>
      <x:c r="G114" s="57" t="n">
        <x:f>MAX('原始数据'!$E$330,'原始数据'!$E$402,'原始数据'!$E$474,'原始数据'!$E$546)</x:f>
        <x:v>0.1313</x:v>
      </x:c>
      <x:c r="H114" s="60" t="n">
        <x:f>STDEV.P('原始数据'!$D$330,'原始数据'!$D$402,'原始数据'!$D$474,'原始数据'!$D$546)</x:f>
        <x:v>0.013268195054339524</x:v>
      </x:c>
      <x:c r="I114" s="63" t="n">
        <x:f>STDEV.P('原始数据'!$E$330,'原始数据'!$E$402,'原始数据'!$E$474,'原始数据'!$E$546)</x:f>
        <x:v>0.023822822565766635</x:v>
      </x:c>
    </x:row>
    <x:row r="115" ht="20" customHeight="1">
      <x:c r="A115" s="27" t="str">
        <x:v>CADE-IDS</x:v>
      </x:c>
      <x:c r="B115" s="30" t="str">
        <x:v>2016-03</x:v>
      </x:c>
      <x:c r="C115" s="51" t="n">
        <x:f>COUNT('原始数据'!$D$331,'原始数据'!$D$403,'原始数据'!$D$475,'原始数据'!$D$547)</x:f>
        <x:v>4</x:v>
      </x:c>
      <x:c r="D115" s="54" t="n">
        <x:f>AVERAGE('原始数据'!$D$331,'原始数据'!$D$403,'原始数据'!$D$475,'原始数据'!$D$547)</x:f>
        <x:v>0.903775</x:v>
      </x:c>
      <x:c r="E115" s="54" t="n">
        <x:f>AVERAGE('原始数据'!$E$331,'原始数据'!$E$403,'原始数据'!$E$475,'原始数据'!$E$547)</x:f>
        <x:v>0.12915000000000001</x:v>
      </x:c>
      <x:c r="F115" s="57" t="n">
        <x:f>MIN('原始数据'!$D$331,'原始数据'!$D$403,'原始数据'!$D$475,'原始数据'!$D$547)</x:f>
        <x:v>0.799</x:v>
      </x:c>
      <x:c r="G115" s="57" t="n">
        <x:f>MAX('原始数据'!$E$331,'原始数据'!$E$403,'原始数据'!$E$475,'原始数据'!$E$547)</x:f>
        <x:v>0.3113</x:v>
      </x:c>
      <x:c r="H115" s="60" t="n">
        <x:f>STDEV.P('原始数据'!$D$331,'原始数据'!$D$403,'原始数据'!$D$475,'原始数据'!$D$547)</x:f>
        <x:v>0.06169572007035819</x:v>
      </x:c>
      <x:c r="I115" s="63" t="n">
        <x:f>STDEV.P('原始数据'!$E$331,'原始数据'!$E$403,'原始数据'!$E$475,'原始数据'!$E$547)</x:f>
        <x:v>0.107030568063521</x:v>
      </x:c>
    </x:row>
    <x:row r="116" ht="20" customHeight="1">
      <x:c r="A116" s="27" t="str">
        <x:v>CADE-IDS</x:v>
      </x:c>
      <x:c r="B116" s="30" t="str">
        <x:v>2016-04</x:v>
      </x:c>
      <x:c r="C116" s="51" t="n">
        <x:f>COUNT('原始数据'!$D$332,'原始数据'!$D$404,'原始数据'!$D$476,'原始数据'!$D$548)</x:f>
        <x:v>4</x:v>
      </x:c>
      <x:c r="D116" s="54" t="n">
        <x:f>AVERAGE('原始数据'!$D$332,'原始数据'!$D$404,'原始数据'!$D$476,'原始数据'!$D$548)</x:f>
        <x:v>0.8765499999999999</x:v>
      </x:c>
      <x:c r="E116" s="54" t="n">
        <x:f>AVERAGE('原始数据'!$E$332,'原始数据'!$E$404,'原始数据'!$E$476,'原始数据'!$E$548)</x:f>
        <x:v>0.1441</x:v>
      </x:c>
      <x:c r="F116" s="57" t="n">
        <x:f>MIN('原始数据'!$D$332,'原始数据'!$D$404,'原始数据'!$D$476,'原始数据'!$D$548)</x:f>
        <x:v>0.803</x:v>
      </x:c>
      <x:c r="G116" s="57" t="n">
        <x:f>MAX('原始数据'!$E$332,'原始数据'!$E$404,'原始数据'!$E$476,'原始数据'!$E$548)</x:f>
        <x:v>0.2639</x:v>
      </x:c>
      <x:c r="H116" s="60" t="n">
        <x:f>STDEV.P('原始数据'!$D$332,'原始数据'!$D$404,'原始数据'!$D$476,'原始数据'!$D$548)</x:f>
        <x:v>0.0506259073992753</x:v>
      </x:c>
      <x:c r="I116" s="63" t="n">
        <x:f>STDEV.P('原始数据'!$E$332,'原始数据'!$E$404,'原始数据'!$E$476,'原始数据'!$E$548)</x:f>
        <x:v>0.08620571326774115</x:v>
      </x:c>
    </x:row>
    <x:row r="117" ht="20" customHeight="1">
      <x:c r="A117" s="27" t="str">
        <x:v>CADE-IDS</x:v>
      </x:c>
      <x:c r="B117" s="30" t="str">
        <x:v>2016-05</x:v>
      </x:c>
      <x:c r="C117" s="51" t="n">
        <x:f>COUNT('原始数据'!$D$333,'原始数据'!$D$405,'原始数据'!$D$477,'原始数据'!$D$549)</x:f>
        <x:v>4</x:v>
      </x:c>
      <x:c r="D117" s="54" t="n">
        <x:f>AVERAGE('原始数据'!$D$333,'原始数据'!$D$405,'原始数据'!$D$477,'原始数据'!$D$549)</x:f>
        <x:v>0.9186000000000001</x:v>
      </x:c>
      <x:c r="E117" s="54" t="n">
        <x:f>AVERAGE('原始数据'!$E$333,'原始数据'!$E$405,'原始数据'!$E$477,'原始数据'!$E$549)</x:f>
        <x:v>0.112175</x:v>
      </x:c>
      <x:c r="F117" s="57" t="n">
        <x:f>MIN('原始数据'!$D$333,'原始数据'!$D$405,'原始数据'!$D$477,'原始数据'!$D$549)</x:f>
        <x:v>0.8949</x:v>
      </x:c>
      <x:c r="G117" s="57" t="n">
        <x:f>MAX('原始数据'!$E$333,'原始数据'!$E$405,'原始数据'!$E$477,'原始数据'!$E$549)</x:f>
        <x:v>0.1614</x:v>
      </x:c>
      <x:c r="H117" s="60" t="n">
        <x:f>STDEV.P('原始数据'!$D$333,'原始数据'!$D$405,'原始数据'!$D$477,'原始数据'!$D$549)</x:f>
        <x:v>0.017161439333575723</x:v>
      </x:c>
      <x:c r="I117" s="63" t="n">
        <x:f>STDEV.P('原始数据'!$E$333,'原始数据'!$E$405,'原始数据'!$E$477,'原始数据'!$E$549)</x:f>
        <x:v>0.033303481424619856</x:v>
      </x:c>
    </x:row>
    <x:row r="118" ht="20" customHeight="1">
      <x:c r="A118" s="27" t="str">
        <x:v>CADE-IDS</x:v>
      </x:c>
      <x:c r="B118" s="30" t="str">
        <x:v>2016-06</x:v>
      </x:c>
      <x:c r="C118" s="51" t="n">
        <x:f>COUNT('原始数据'!$D$334,'原始数据'!$D$406,'原始数据'!$D$478,'原始数据'!$D$550)</x:f>
        <x:v>4</x:v>
      </x:c>
      <x:c r="D118" s="54" t="n">
        <x:f>AVERAGE('原始数据'!$D$334,'原始数据'!$D$406,'原始数据'!$D$478,'原始数据'!$D$550)</x:f>
        <x:v>0.92225</x:v>
      </x:c>
      <x:c r="E118" s="54" t="n">
        <x:f>AVERAGE('原始数据'!$E$334,'原始数据'!$E$406,'原始数据'!$E$478,'原始数据'!$E$550)</x:f>
        <x:v>0.094</x:v>
      </x:c>
      <x:c r="F118" s="57" t="n">
        <x:f>MIN('原始数据'!$D$334,'原始数据'!$D$406,'原始数据'!$D$478,'原始数据'!$D$550)</x:f>
        <x:v>0.8999</x:v>
      </x:c>
      <x:c r="G118" s="57" t="n">
        <x:f>MAX('原始数据'!$E$334,'原始数据'!$E$406,'原始数据'!$E$478,'原始数据'!$E$550)</x:f>
        <x:v>0.1321</x:v>
      </x:c>
      <x:c r="H118" s="60" t="n">
        <x:f>STDEV.P('原始数据'!$D$334,'原始数据'!$D$406,'原始数据'!$D$478,'原始数据'!$D$550)</x:f>
        <x:v>0.013488606303098892</x:v>
      </x:c>
      <x:c r="I118" s="63" t="n">
        <x:f>STDEV.P('原始数据'!$E$334,'原始数据'!$E$406,'原始数据'!$E$478,'原始数据'!$E$550)</x:f>
        <x:v>0.023926763257908493</x:v>
      </x:c>
    </x:row>
    <x:row r="119" ht="20" customHeight="1">
      <x:c r="A119" s="27" t="str">
        <x:v>CADE-IDS</x:v>
      </x:c>
      <x:c r="B119" s="30" t="str">
        <x:v>2016-07</x:v>
      </x:c>
      <x:c r="C119" s="51" t="n">
        <x:f>COUNT('原始数据'!$D$335,'原始数据'!$D$407,'原始数据'!$D$479,'原始数据'!$D$551)</x:f>
        <x:v>4</x:v>
      </x:c>
      <x:c r="D119" s="54" t="n">
        <x:f>AVERAGE('原始数据'!$D$335,'原始数据'!$D$407,'原始数据'!$D$479,'原始数据'!$D$551)</x:f>
        <x:v>0.9115249999999999</x:v>
      </x:c>
      <x:c r="E119" s="54" t="n">
        <x:f>AVERAGE('原始数据'!$E$335,'原始数据'!$E$407,'原始数据'!$E$479,'原始数据'!$E$551)</x:f>
        <x:v>0.10915</x:v>
      </x:c>
      <x:c r="F119" s="57" t="n">
        <x:f>MIN('原始数据'!$D$335,'原始数据'!$D$407,'原始数据'!$D$479,'原始数据'!$D$551)</x:f>
        <x:v>0.8913</x:v>
      </x:c>
      <x:c r="G119" s="57" t="n">
        <x:f>MAX('原始数据'!$E$335,'原始数据'!$E$407,'原始数据'!$E$479,'原始数据'!$E$551)</x:f>
        <x:v>0.1476</x:v>
      </x:c>
      <x:c r="H119" s="60" t="n">
        <x:f>STDEV.P('原始数据'!$D$335,'原始数据'!$D$407,'原始数据'!$D$479,'原始数据'!$D$551)</x:f>
        <x:v>0.012960010609563572</x:v>
      </x:c>
      <x:c r="I119" s="63" t="n">
        <x:f>STDEV.P('原始数据'!$E$335,'原始数据'!$E$407,'原始数据'!$E$479,'原始数据'!$E$551)</x:f>
        <x:v>0.02435903323204762</x:v>
      </x:c>
    </x:row>
    <x:row r="120" ht="20" customHeight="1">
      <x:c r="A120" s="27" t="str">
        <x:v>CADE-IDS</x:v>
      </x:c>
      <x:c r="B120" s="30" t="str">
        <x:v>2016-08</x:v>
      </x:c>
      <x:c r="C120" s="51" t="n">
        <x:f>COUNT('原始数据'!$D$336,'原始数据'!$D$408,'原始数据'!$D$480,'原始数据'!$D$552)</x:f>
        <x:v>4</x:v>
      </x:c>
      <x:c r="D120" s="54" t="n">
        <x:f>AVERAGE('原始数据'!$D$336,'原始数据'!$D$408,'原始数据'!$D$480,'原始数据'!$D$552)</x:f>
        <x:v>0.907075</x:v>
      </x:c>
      <x:c r="E120" s="54" t="n">
        <x:f>AVERAGE('原始数据'!$E$336,'原始数据'!$E$408,'原始数据'!$E$480,'原始数据'!$E$552)</x:f>
        <x:v>0.10515000000000001</x:v>
      </x:c>
      <x:c r="F120" s="57" t="n">
        <x:f>MIN('原始数据'!$D$336,'原始数据'!$D$408,'原始数据'!$D$480,'原始数据'!$D$552)</x:f>
        <x:v>0.8834</x:v>
      </x:c>
      <x:c r="G120" s="57" t="n">
        <x:f>MAX('原始数据'!$E$336,'原始数据'!$E$408,'原始数据'!$E$480,'原始数据'!$E$552)</x:f>
        <x:v>0.1308</x:v>
      </x:c>
      <x:c r="H120" s="60" t="n">
        <x:f>STDEV.P('原始数据'!$D$336,'原始数据'!$D$408,'原始数据'!$D$480,'原始数据'!$D$552)</x:f>
        <x:v>0.016368777443657813</x:v>
      </x:c>
      <x:c r="I120" s="63" t="n">
        <x:f>STDEV.P('原始数据'!$E$336,'原始数据'!$E$408,'原始数据'!$E$480,'原始数据'!$E$552)</x:f>
        <x:v>0.025438700831606945</x:v>
      </x:c>
    </x:row>
    <x:row r="121" ht="20" customHeight="1">
      <x:c r="A121" s="27" t="str">
        <x:v>CADE-IDS</x:v>
      </x:c>
      <x:c r="B121" s="30" t="str">
        <x:v>2016-09</x:v>
      </x:c>
      <x:c r="C121" s="51" t="n">
        <x:f>COUNT('原始数据'!$D$337,'原始数据'!$D$409,'原始数据'!$D$481,'原始数据'!$D$553)</x:f>
        <x:v>4</x:v>
      </x:c>
      <x:c r="D121" s="54" t="n">
        <x:f>AVERAGE('原始数据'!$D$337,'原始数据'!$D$409,'原始数据'!$D$481,'原始数据'!$D$553)</x:f>
        <x:v>0.890625</x:v>
      </x:c>
      <x:c r="E121" s="54" t="n">
        <x:f>AVERAGE('原始数据'!$E$337,'原始数据'!$E$409,'原始数据'!$E$481,'原始数据'!$E$553)</x:f>
        <x:v>0.15465</x:v>
      </x:c>
      <x:c r="F121" s="57" t="n">
        <x:f>MIN('原始数据'!$D$337,'原始数据'!$D$409,'原始数据'!$D$481,'原始数据'!$D$553)</x:f>
        <x:v>0.8357</x:v>
      </x:c>
      <x:c r="G121" s="57" t="n">
        <x:f>MAX('原始数据'!$E$337,'原始数据'!$E$409,'原始数据'!$E$481,'原始数据'!$E$553)</x:f>
        <x:v>0.2312</x:v>
      </x:c>
      <x:c r="H121" s="60" t="n">
        <x:f>STDEV.P('原始数据'!$D$337,'原始数据'!$D$409,'原始数据'!$D$481,'原始数据'!$D$553)</x:f>
        <x:v>0.03497523230802048</x:v>
      </x:c>
      <x:c r="I121" s="63" t="n">
        <x:f>STDEV.P('原始数据'!$E$337,'原始数据'!$E$409,'原始数据'!$E$481,'原始数据'!$E$553)</x:f>
        <x:v>0.05355802927666401</x:v>
      </x:c>
    </x:row>
    <x:row r="122" ht="20" customHeight="1">
      <x:c r="A122" s="27" t="str">
        <x:v>CADE-IDS</x:v>
      </x:c>
      <x:c r="B122" s="30" t="str">
        <x:v>2016-10</x:v>
      </x:c>
      <x:c r="C122" s="51" t="n">
        <x:f>COUNT('原始数据'!$D$338,'原始数据'!$D$410,'原始数据'!$D$482,'原始数据'!$D$554)</x:f>
        <x:v>4</x:v>
      </x:c>
      <x:c r="D122" s="54" t="n">
        <x:f>AVERAGE('原始数据'!$D$338,'原始数据'!$D$410,'原始数据'!$D$482,'原始数据'!$D$554)</x:f>
        <x:v>0.910275</x:v>
      </x:c>
      <x:c r="E122" s="54" t="n">
        <x:f>AVERAGE('原始数据'!$E$338,'原始数据'!$E$410,'原始数据'!$E$482,'原始数据'!$E$554)</x:f>
        <x:v>0.10417500000000002</x:v>
      </x:c>
      <x:c r="F122" s="57" t="n">
        <x:f>MIN('原始数据'!$D$338,'原始数据'!$D$410,'原始数据'!$D$482,'原始数据'!$D$554)</x:f>
        <x:v>0.8642</x:v>
      </x:c>
      <x:c r="G122" s="57" t="n">
        <x:f>MAX('原始数据'!$E$338,'原始数据'!$E$410,'原始数据'!$E$482,'原始数据'!$E$554)</x:f>
        <x:v>0.1789</x:v>
      </x:c>
      <x:c r="H122" s="60" t="n">
        <x:f>STDEV.P('原始数据'!$D$338,'原始数据'!$D$410,'原始数据'!$D$482,'原始数据'!$D$554)</x:f>
        <x:v>0.03843457915731617</x:v>
      </x:c>
      <x:c r="I122" s="63" t="n">
        <x:f>STDEV.P('原始数据'!$E$338,'原始数据'!$E$410,'原始数据'!$E$482,'原始数据'!$E$554)</x:f>
        <x:v>0.06321824795895566</x:v>
      </x:c>
    </x:row>
    <x:row r="123" ht="20" customHeight="1">
      <x:c r="A123" s="27" t="str">
        <x:v>CADE-IDS</x:v>
      </x:c>
      <x:c r="B123" s="30" t="str">
        <x:v>2016-11</x:v>
      </x:c>
      <x:c r="C123" s="51" t="n">
        <x:f>COUNT('原始数据'!$D$339,'原始数据'!$D$411,'原始数据'!$D$483,'原始数据'!$D$555)</x:f>
        <x:v>4</x:v>
      </x:c>
      <x:c r="D123" s="54" t="n">
        <x:f>AVERAGE('原始数据'!$D$339,'原始数据'!$D$411,'原始数据'!$D$483,'原始数据'!$D$555)</x:f>
        <x:v>0.8225750000000001</x:v>
      </x:c>
      <x:c r="E123" s="54" t="n">
        <x:f>AVERAGE('原始数据'!$E$339,'原始数据'!$E$411,'原始数据'!$E$483,'原始数据'!$E$555)</x:f>
        <x:v>0.26289999999999997</x:v>
      </x:c>
      <x:c r="F123" s="57" t="n">
        <x:f>MIN('原始数据'!$D$339,'原始数据'!$D$411,'原始数据'!$D$483,'原始数据'!$D$555)</x:f>
        <x:v>0.7638</x:v>
      </x:c>
      <x:c r="G123" s="57" t="n">
        <x:f>MAX('原始数据'!$E$339,'原始数据'!$E$411,'原始数据'!$E$483,'原始数据'!$E$555)</x:f>
        <x:v>0.3485</x:v>
      </x:c>
      <x:c r="H123" s="60" t="n">
        <x:f>STDEV.P('原始数据'!$D$339,'原始数据'!$D$411,'原始数据'!$D$483,'原始数据'!$D$555)</x:f>
        <x:v>0.07440471675236723</x:v>
      </x:c>
      <x:c r="I123" s="63" t="n">
        <x:f>STDEV.P('原始数据'!$E$339,'原始数据'!$E$411,'原始数据'!$E$483,'原始数据'!$E$555)</x:f>
        <x:v>0.11493134907413208</x:v>
      </x:c>
    </x:row>
    <x:row r="124" ht="20" customHeight="1">
      <x:c r="A124" s="27" t="str">
        <x:v>CADE-IDS</x:v>
      </x:c>
      <x:c r="B124" s="30" t="str">
        <x:v>2016-12</x:v>
      </x:c>
      <x:c r="C124" s="51" t="n">
        <x:f>COUNT('原始数据'!$D$340,'原始数据'!$D$412,'原始数据'!$D$484,'原始数据'!$D$556)</x:f>
        <x:v>4</x:v>
      </x:c>
      <x:c r="D124" s="54" t="n">
        <x:f>AVERAGE('原始数据'!$D$340,'原始数据'!$D$412,'原始数据'!$D$484,'原始数据'!$D$556)</x:f>
        <x:v>0.845975</x:v>
      </x:c>
      <x:c r="E124" s="54" t="n">
        <x:f>AVERAGE('原始数据'!$E$340,'原始数据'!$E$412,'原始数据'!$E$484,'原始数据'!$E$556)</x:f>
        <x:v>0.22315000000000002</x:v>
      </x:c>
      <x:c r="F124" s="57" t="n">
        <x:f>MIN('原始数据'!$D$340,'原始数据'!$D$412,'原始数据'!$D$484,'原始数据'!$D$556)</x:f>
        <x:v>0.828</x:v>
      </x:c>
      <x:c r="G124" s="57" t="n">
        <x:f>MAX('原始数据'!$E$340,'原始数据'!$E$412,'原始数据'!$E$484,'原始数据'!$E$556)</x:f>
        <x:v>0.2476</x:v>
      </x:c>
      <x:c r="H124" s="60" t="n">
        <x:f>STDEV.P('原始数据'!$D$340,'原始数据'!$D$412,'原始数据'!$D$484,'原始数据'!$D$556)</x:f>
        <x:v>0.014886298230251888</x:v>
      </x:c>
      <x:c r="I124" s="63" t="n">
        <x:f>STDEV.P('原始数据'!$E$340,'原始数据'!$E$412,'原始数据'!$E$484,'原始数据'!$E$556)</x:f>
        <x:v>0.021278334051330228</x:v>
      </x:c>
    </x:row>
    <x:row r="125" ht="20" customHeight="1">
      <x:c r="A125" s="27" t="str">
        <x:v>CADE-IDS</x:v>
      </x:c>
      <x:c r="B125" s="30" t="str">
        <x:v>2017-01</x:v>
      </x:c>
      <x:c r="C125" s="51" t="n">
        <x:f>COUNT('原始数据'!$D$341,'原始数据'!$D$413,'原始数据'!$D$485,'原始数据'!$D$557)</x:f>
        <x:v>4</x:v>
      </x:c>
      <x:c r="D125" s="54" t="n">
        <x:f>AVERAGE('原始数据'!$D$341,'原始数据'!$D$413,'原始数据'!$D$485,'原始数据'!$D$557)</x:f>
        <x:v>0.8872</x:v>
      </x:c>
      <x:c r="E125" s="54" t="n">
        <x:f>AVERAGE('原始数据'!$E$341,'原始数据'!$E$413,'原始数据'!$E$485,'原始数据'!$E$557)</x:f>
        <x:v>0.140625</x:v>
      </x:c>
      <x:c r="F125" s="57" t="n">
        <x:f>MIN('原始数据'!$D$341,'原始数据'!$D$413,'原始数据'!$D$485,'原始数据'!$D$557)</x:f>
        <x:v>0.8571</x:v>
      </x:c>
      <x:c r="G125" s="57" t="n">
        <x:f>MAX('原始数据'!$E$341,'原始数据'!$E$413,'原始数据'!$E$485,'原始数据'!$E$557)</x:f>
        <x:v>0.175</x:v>
      </x:c>
      <x:c r="H125" s="60" t="n">
        <x:f>STDEV.P('原始数据'!$D$341,'原始数据'!$D$413,'原始数据'!$D$485,'原始数据'!$D$557)</x:f>
        <x:v>0.020000124999609372</x:v>
      </x:c>
      <x:c r="I125" s="63" t="n">
        <x:f>STDEV.P('原始数据'!$E$341,'原始数据'!$E$413,'原始数据'!$E$485,'原始数据'!$E$557)</x:f>
        <x:v>0.03222905327495674</x:v>
      </x:c>
    </x:row>
    <x:row r="126" ht="20" customHeight="1">
      <x:c r="A126" s="27" t="str">
        <x:v>CADE-IDS</x:v>
      </x:c>
      <x:c r="B126" s="30" t="str">
        <x:v>2017-02</x:v>
      </x:c>
      <x:c r="C126" s="51" t="n">
        <x:f>COUNT('原始数据'!$D$342,'原始数据'!$D$414,'原始数据'!$D$486,'原始数据'!$D$558)</x:f>
        <x:v>4</x:v>
      </x:c>
      <x:c r="D126" s="54" t="n">
        <x:f>AVERAGE('原始数据'!$D$342,'原始数据'!$D$414,'原始数据'!$D$486,'原始数据'!$D$558)</x:f>
        <x:v>0.909025</x:v>
      </x:c>
      <x:c r="E126" s="54" t="n">
        <x:f>AVERAGE('原始数据'!$E$342,'原始数据'!$E$414,'原始数据'!$E$486,'原始数据'!$E$558)</x:f>
        <x:v>0.125</x:v>
      </x:c>
      <x:c r="F126" s="57" t="n">
        <x:f>MIN('原始数据'!$D$342,'原始数据'!$D$414,'原始数据'!$D$486,'原始数据'!$D$558)</x:f>
        <x:v>0.8427</x:v>
      </x:c>
      <x:c r="G126" s="57" t="n">
        <x:f>MAX('原始数据'!$E$342,'原始数据'!$E$414,'原始数据'!$E$486,'原始数据'!$E$558)</x:f>
        <x:v>0.2283</x:v>
      </x:c>
      <x:c r="H126" s="60" t="n">
        <x:f>STDEV.P('原始数据'!$D$342,'原始数据'!$D$414,'原始数据'!$D$486,'原始数据'!$D$558)</x:f>
        <x:v>0.04042297459366394</x:v>
      </x:c>
      <x:c r="I126" s="63" t="n">
        <x:f>STDEV.P('原始数据'!$E$342,'原始数据'!$E$414,'原始数据'!$E$486,'原始数据'!$E$558)</x:f>
        <x:v>0.06455094886986558</x:v>
      </x:c>
    </x:row>
    <x:row r="127" ht="20" customHeight="1">
      <x:c r="A127" s="27" t="str">
        <x:v>CADE-IDS</x:v>
      </x:c>
      <x:c r="B127" s="30" t="str">
        <x:v>2017-03</x:v>
      </x:c>
      <x:c r="C127" s="51" t="n">
        <x:f>COUNT('原始数据'!$D$343,'原始数据'!$D$415,'原始数据'!$D$487,'原始数据'!$D$559)</x:f>
        <x:v>4</x:v>
      </x:c>
      <x:c r="D127" s="54" t="n">
        <x:f>AVERAGE('原始数据'!$D$343,'原始数据'!$D$415,'原始数据'!$D$487,'原始数据'!$D$559)</x:f>
        <x:v>0.8528249999999999</x:v>
      </x:c>
      <x:c r="E127" s="54" t="n">
        <x:f>AVERAGE('原始数据'!$E$343,'原始数据'!$E$415,'原始数据'!$E$487,'原始数据'!$E$559)</x:f>
        <x:v>0.16340000000000002</x:v>
      </x:c>
      <x:c r="F127" s="57" t="n">
        <x:f>MIN('原始数据'!$D$343,'原始数据'!$D$415,'原始数据'!$D$487,'原始数据'!$D$559)</x:f>
        <x:v>0.8268</x:v>
      </x:c>
      <x:c r="G127" s="57" t="n">
        <x:f>MAX('原始数据'!$E$343,'原始数据'!$E$415,'原始数据'!$E$487,'原始数据'!$E$559)</x:f>
        <x:v>0.2048</x:v>
      </x:c>
      <x:c r="H127" s="60" t="n">
        <x:f>STDEV.P('原始数据'!$D$343,'原始数据'!$D$415,'原始数据'!$D$487,'原始数据'!$D$559)</x:f>
        <x:v>0.02193904909060554</x:v>
      </x:c>
      <x:c r="I127" s="63" t="n">
        <x:f>STDEV.P('原始数据'!$E$343,'原始数据'!$E$415,'原始数据'!$E$487,'原始数据'!$E$559)</x:f>
        <x:v>0.04041825082806034</x:v>
      </x:c>
    </x:row>
    <x:row r="128" ht="20" customHeight="1">
      <x:c r="A128" s="27" t="str">
        <x:v>CADE-IDS</x:v>
      </x:c>
      <x:c r="B128" s="30" t="str">
        <x:v>2017-04</x:v>
      </x:c>
      <x:c r="C128" s="51" t="n">
        <x:f>COUNT('原始数据'!$D$344,'原始数据'!$D$416,'原始数据'!$D$488,'原始数据'!$D$560)</x:f>
        <x:v>4</x:v>
      </x:c>
      <x:c r="D128" s="54" t="n">
        <x:f>AVERAGE('原始数据'!$D$344,'原始数据'!$D$416,'原始数据'!$D$488,'原始数据'!$D$560)</x:f>
        <x:v>0.8179749999999999</x:v>
      </x:c>
      <x:c r="E128" s="54" t="n">
        <x:f>AVERAGE('原始数据'!$E$344,'原始数据'!$E$416,'原始数据'!$E$488,'原始数据'!$E$560)</x:f>
        <x:v>0.258075</x:v>
      </x:c>
      <x:c r="F128" s="57" t="n">
        <x:f>MIN('原始数据'!$D$344,'原始数据'!$D$416,'原始数据'!$D$488,'原始数据'!$D$560)</x:f>
        <x:v>0.7664</x:v>
      </x:c>
      <x:c r="G128" s="57" t="n">
        <x:f>MAX('原始数据'!$E$344,'原始数据'!$E$416,'原始数据'!$E$488,'原始数据'!$E$560)</x:f>
        <x:v>0.3226</x:v>
      </x:c>
      <x:c r="H128" s="60" t="n">
        <x:f>STDEV.P('原始数据'!$D$344,'原始数据'!$D$416,'原始数据'!$D$488,'原始数据'!$D$560)</x:f>
        <x:v>0.051604087774128914</x:v>
      </x:c>
      <x:c r="I128" s="63" t="n">
        <x:f>STDEV.P('原始数据'!$E$344,'原始数据'!$E$416,'原始数据'!$E$488,'原始数据'!$E$560)</x:f>
        <x:v>0.06468598669727471</x:v>
      </x:c>
    </x:row>
    <x:row r="129" ht="20" customHeight="1">
      <x:c r="A129" s="27" t="str">
        <x:v>CADE-IDS</x:v>
      </x:c>
      <x:c r="B129" s="30" t="str">
        <x:v>2017-05</x:v>
      </x:c>
      <x:c r="C129" s="51" t="n">
        <x:f>COUNT('原始数据'!$D$345,'原始数据'!$D$417,'原始数据'!$D$489,'原始数据'!$D$561)</x:f>
        <x:v>4</x:v>
      </x:c>
      <x:c r="D129" s="54" t="n">
        <x:f>AVERAGE('原始数据'!$D$345,'原始数据'!$D$417,'原始数据'!$D$489,'原始数据'!$D$561)</x:f>
        <x:v>0.87015</x:v>
      </x:c>
      <x:c r="E129" s="54" t="n">
        <x:f>AVERAGE('原始数据'!$E$345,'原始数据'!$E$417,'原始数据'!$E$489,'原始数据'!$E$561)</x:f>
        <x:v>0.194425</x:v>
      </x:c>
      <x:c r="F129" s="57" t="n">
        <x:f>MIN('原始数据'!$D$345,'原始数据'!$D$417,'原始数据'!$D$489,'原始数据'!$D$561)</x:f>
        <x:v>0.8462</x:v>
      </x:c>
      <x:c r="G129" s="57" t="n">
        <x:f>MAX('原始数据'!$E$345,'原始数据'!$E$417,'原始数据'!$E$489,'原始数据'!$E$561)</x:f>
        <x:v>0.2222</x:v>
      </x:c>
      <x:c r="H129" s="60" t="n">
        <x:f>STDEV.P('原始数据'!$D$345,'原始数据'!$D$417,'原始数据'!$D$489,'原始数据'!$D$561)</x:f>
        <x:v>0.01775140839482887</x:v>
      </x:c>
      <x:c r="I129" s="63" t="n">
        <x:f>STDEV.P('原始数据'!$E$345,'原始数据'!$E$417,'原始数据'!$E$489,'原始数据'!$E$561)</x:f>
        <x:v>0.03301865949732061</x:v>
      </x:c>
    </x:row>
    <x:row r="130" ht="20" customHeight="1">
      <x:c r="A130" s="27" t="str">
        <x:v>CADE-IDS</x:v>
      </x:c>
      <x:c r="B130" s="30" t="str">
        <x:v>2017-06</x:v>
      </x:c>
      <x:c r="C130" s="51" t="n">
        <x:f>COUNT('原始数据'!$D$346,'原始数据'!$D$418,'原始数据'!$D$490,'原始数据'!$D$562)</x:f>
        <x:v>4</x:v>
      </x:c>
      <x:c r="D130" s="54" t="n">
        <x:f>AVERAGE('原始数据'!$D$346,'原始数据'!$D$418,'原始数据'!$D$490,'原始数据'!$D$562)</x:f>
        <x:v>0.802775</x:v>
      </x:c>
      <x:c r="E130" s="54" t="n">
        <x:f>AVERAGE('原始数据'!$E$346,'原始数据'!$E$418,'原始数据'!$E$490,'原始数据'!$E$562)</x:f>
        <x:v>0.274325</x:v>
      </x:c>
      <x:c r="F130" s="57" t="n">
        <x:f>MIN('原始数据'!$D$346,'原始数据'!$D$418,'原始数据'!$D$490,'原始数据'!$D$562)</x:f>
        <x:v>0.7083</x:v>
      </x:c>
      <x:c r="G130" s="57" t="n">
        <x:f>MAX('原始数据'!$E$346,'原始数据'!$E$418,'原始数据'!$E$490,'原始数据'!$E$562)</x:f>
        <x:v>0.3982</x:v>
      </x:c>
      <x:c r="H130" s="60" t="n">
        <x:f>STDEV.P('原始数据'!$D$346,'原始数据'!$D$418,'原始数据'!$D$490,'原始数据'!$D$562)</x:f>
        <x:v>0.07805822746514295</x:v>
      </x:c>
      <x:c r="I130" s="63" t="n">
        <x:f>STDEV.P('原始数据'!$E$346,'原始数据'!$E$418,'原始数据'!$E$490,'原始数据'!$E$562)</x:f>
        <x:v>0.12083806053971571</x:v>
      </x:c>
    </x:row>
    <x:row r="131" ht="20" customHeight="1">
      <x:c r="A131" s="27" t="str">
        <x:v>CADE-IDS</x:v>
      </x:c>
      <x:c r="B131" s="30" t="str">
        <x:v>2017-07</x:v>
      </x:c>
      <x:c r="C131" s="51" t="n">
        <x:f>COUNT('原始数据'!$D$347,'原始数据'!$D$419,'原始数据'!$D$491,'原始数据'!$D$563)</x:f>
        <x:v>4</x:v>
      </x:c>
      <x:c r="D131" s="54" t="n">
        <x:f>AVERAGE('原始数据'!$D$347,'原始数据'!$D$419,'原始数据'!$D$491,'原始数据'!$D$563)</x:f>
        <x:v>0.89785</x:v>
      </x:c>
      <x:c r="E131" s="54" t="n">
        <x:f>AVERAGE('原始数据'!$E$347,'原始数据'!$E$419,'原始数据'!$E$491,'原始数据'!$E$563)</x:f>
        <x:v>0.12165000000000001</x:v>
      </x:c>
      <x:c r="F131" s="57" t="n">
        <x:f>MIN('原始数据'!$D$347,'原始数据'!$D$419,'原始数据'!$D$491,'原始数据'!$D$563)</x:f>
        <x:v>0.8698</x:v>
      </x:c>
      <x:c r="G131" s="57" t="n">
        <x:f>MAX('原始数据'!$E$347,'原始数据'!$E$419,'原始数据'!$E$491,'原始数据'!$E$563)</x:f>
        <x:v>0.1604</x:v>
      </x:c>
      <x:c r="H131" s="60" t="n">
        <x:f>STDEV.P('原始数据'!$D$347,'原始数据'!$D$419,'原始数据'!$D$491,'原始数据'!$D$563)</x:f>
        <x:v>0.020359825637760242</x:v>
      </x:c>
      <x:c r="I131" s="63" t="n">
        <x:f>STDEV.P('原始数据'!$E$347,'原始数据'!$E$419,'原始数据'!$E$491,'原始数据'!$E$563)</x:f>
        <x:v>0.03491392988478954</x:v>
      </x:c>
    </x:row>
    <x:row r="132" ht="20" customHeight="1">
      <x:c r="A132" s="27" t="str">
        <x:v>CADE-IDS</x:v>
      </x:c>
      <x:c r="B132" s="30" t="str">
        <x:v>2017-08</x:v>
      </x:c>
      <x:c r="C132" s="51" t="n">
        <x:f>COUNT('原始数据'!$D$348,'原始数据'!$D$420,'原始数据'!$D$492,'原始数据'!$D$564)</x:f>
        <x:v>4</x:v>
      </x:c>
      <x:c r="D132" s="54" t="n">
        <x:f>AVERAGE('原始数据'!$D$348,'原始数据'!$D$420,'原始数据'!$D$492,'原始数据'!$D$564)</x:f>
        <x:v>0.94245</x:v>
      </x:c>
      <x:c r="E132" s="54" t="n">
        <x:f>AVERAGE('原始数据'!$E$348,'原始数据'!$E$420,'原始数据'!$E$492,'原始数据'!$E$564)</x:f>
        <x:v>0.059125</x:v>
      </x:c>
      <x:c r="F132" s="57" t="n">
        <x:f>MIN('原始数据'!$D$348,'原始数据'!$D$420,'原始数据'!$D$492,'原始数据'!$D$564)</x:f>
        <x:v>0.9336</x:v>
      </x:c>
      <x:c r="G132" s="57" t="n">
        <x:f>MAX('原始数据'!$E$348,'原始数据'!$E$420,'原始数据'!$E$492,'原始数据'!$E$564)</x:f>
        <x:v>0.0743</x:v>
      </x:c>
      <x:c r="H132" s="60" t="n">
        <x:f>STDEV.P('原始数据'!$D$348,'原始数据'!$D$420,'原始数据'!$D$492,'原始数据'!$D$564)</x:f>
        <x:v>0.007965393901120022</x:v>
      </x:c>
      <x:c r="I132" s="63" t="n">
        <x:f>STDEV.P('原始数据'!$E$348,'原始数据'!$E$420,'原始数据'!$E$492,'原始数据'!$E$564)</x:f>
        <x:v>0.01401595073478785</x:v>
      </x:c>
    </x:row>
    <x:row r="133" ht="20" customHeight="1">
      <x:c r="A133" s="27" t="str">
        <x:v>CADE-IDS</x:v>
      </x:c>
      <x:c r="B133" s="30" t="str">
        <x:v>2017-09</x:v>
      </x:c>
      <x:c r="C133" s="51" t="n">
        <x:f>COUNT('原始数据'!$D$349,'原始数据'!$D$421,'原始数据'!$D$493,'原始数据'!$D$565)</x:f>
        <x:v>4</x:v>
      </x:c>
      <x:c r="D133" s="54" t="n">
        <x:f>AVERAGE('原始数据'!$D$349,'原始数据'!$D$421,'原始数据'!$D$493,'原始数据'!$D$565)</x:f>
        <x:v>0.9012749999999999</x:v>
      </x:c>
      <x:c r="E133" s="54" t="n">
        <x:f>AVERAGE('原始数据'!$E$349,'原始数据'!$E$421,'原始数据'!$E$493,'原始数据'!$E$565)</x:f>
        <x:v>0.074825</x:v>
      </x:c>
      <x:c r="F133" s="57" t="n">
        <x:f>MIN('原始数据'!$D$349,'原始数据'!$D$421,'原始数据'!$D$493,'原始数据'!$D$565)</x:f>
        <x:v>0.8825</x:v>
      </x:c>
      <x:c r="G133" s="57" t="n">
        <x:f>MAX('原始数据'!$E$349,'原始数据'!$E$421,'原始数据'!$E$493,'原始数据'!$E$565)</x:f>
        <x:v>0.1146</x:v>
      </x:c>
      <x:c r="H133" s="60" t="n">
        <x:f>STDEV.P('原始数据'!$D$349,'原始数据'!$D$421,'原始数据'!$D$493,'原始数据'!$D$565)</x:f>
        <x:v>0.01274781844081568</x:v>
      </x:c>
      <x:c r="I133" s="63" t="n">
        <x:f>STDEV.P('原始数据'!$E$349,'原始数据'!$E$421,'原始数据'!$E$493,'原始数据'!$E$565)</x:f>
        <x:v>0.029313851248172765</x:v>
      </x:c>
    </x:row>
    <x:row r="134" ht="20" customHeight="1">
      <x:c r="A134" s="27" t="str">
        <x:v>CADE-IDS</x:v>
      </x:c>
      <x:c r="B134" s="30" t="str">
        <x:v>2017-10</x:v>
      </x:c>
      <x:c r="C134" s="51" t="n">
        <x:f>COUNT('原始数据'!$D$350,'原始数据'!$D$422,'原始数据'!$D$494,'原始数据'!$D$566)</x:f>
        <x:v>4</x:v>
      </x:c>
      <x:c r="D134" s="54" t="n">
        <x:f>AVERAGE('原始数据'!$D$350,'原始数据'!$D$422,'原始数据'!$D$494,'原始数据'!$D$566)</x:f>
        <x:v>0.8847</x:v>
      </x:c>
      <x:c r="E134" s="54" t="n">
        <x:f>AVERAGE('原始数据'!$E$350,'原始数据'!$E$422,'原始数据'!$E$494,'原始数据'!$E$566)</x:f>
        <x:v>0.14365</x:v>
      </x:c>
      <x:c r="F134" s="57" t="n">
        <x:f>MIN('原始数据'!$D$350,'原始数据'!$D$422,'原始数据'!$D$494,'原始数据'!$D$566)</x:f>
        <x:v>0.8629</x:v>
      </x:c>
      <x:c r="G134" s="57" t="n">
        <x:f>MAX('原始数据'!$E$350,'原始数据'!$E$422,'原始数据'!$E$494,'原始数据'!$E$566)</x:f>
        <x:v>0.1584</x:v>
      </x:c>
      <x:c r="H134" s="60" t="n">
        <x:f>STDEV.P('原始数据'!$D$350,'原始数据'!$D$422,'原始数据'!$D$494,'原始数据'!$D$566)</x:f>
        <x:v>0.018302595444362555</x:v>
      </x:c>
      <x:c r="I134" s="63" t="n">
        <x:f>STDEV.P('原始数据'!$E$350,'原始数据'!$E$422,'原始数据'!$E$494,'原始数据'!$E$566)</x:f>
        <x:v>0.012555775563460821</x:v>
      </x:c>
    </x:row>
    <x:row r="135" ht="20" customHeight="1">
      <x:c r="A135" s="27" t="str">
        <x:v>CADE-IDS</x:v>
      </x:c>
      <x:c r="B135" s="30" t="str">
        <x:v>2017-11</x:v>
      </x:c>
      <x:c r="C135" s="51" t="n">
        <x:f>COUNT('原始数据'!$D$351,'原始数据'!$D$423,'原始数据'!$D$495,'原始数据'!$D$567)</x:f>
        <x:v>4</x:v>
      </x:c>
      <x:c r="D135" s="54" t="n">
        <x:f>AVERAGE('原始数据'!$D$351,'原始数据'!$D$423,'原始数据'!$D$495,'原始数据'!$D$567)</x:f>
        <x:v>0.8972249999999999</x:v>
      </x:c>
      <x:c r="E135" s="54" t="n">
        <x:f>AVERAGE('原始数据'!$E$351,'原始数据'!$E$423,'原始数据'!$E$495,'原始数据'!$E$567)</x:f>
        <x:v>0.111425</x:v>
      </x:c>
      <x:c r="F135" s="57" t="n">
        <x:f>MIN('原始数据'!$D$351,'原始数据'!$D$423,'原始数据'!$D$495,'原始数据'!$D$567)</x:f>
        <x:v>0.883</x:v>
      </x:c>
      <x:c r="G135" s="57" t="n">
        <x:f>MAX('原始数据'!$E$351,'原始数据'!$E$423,'原始数据'!$E$495,'原始数据'!$E$567)</x:f>
        <x:v>0.1413</x:v>
      </x:c>
      <x:c r="H135" s="60" t="n">
        <x:f>STDEV.P('原始数据'!$D$351,'原始数据'!$D$423,'原始数据'!$D$495,'原始数据'!$D$567)</x:f>
        <x:v>0.015355027678255752</x:v>
      </x:c>
      <x:c r="I135" s="63" t="n">
        <x:f>STDEV.P('原始数据'!$E$351,'原始数据'!$E$423,'原始数据'!$E$495,'原始数据'!$E$567)</x:f>
        <x:v>0.020866045983846587</x:v>
      </x:c>
    </x:row>
    <x:row r="136" ht="20" customHeight="1">
      <x:c r="A136" s="27" t="str">
        <x:v>CADE-IDS</x:v>
      </x:c>
      <x:c r="B136" s="30" t="str">
        <x:v>2017-12</x:v>
      </x:c>
      <x:c r="C136" s="51" t="n">
        <x:f>COUNT('原始数据'!$D$352,'原始数据'!$D$424,'原始数据'!$D$496,'原始数据'!$D$568)</x:f>
        <x:v>4</x:v>
      </x:c>
      <x:c r="D136" s="54" t="n">
        <x:f>AVERAGE('原始数据'!$D$352,'原始数据'!$D$424,'原始数据'!$D$496,'原始数据'!$D$568)</x:f>
        <x:v>0.88215</x:v>
      </x:c>
      <x:c r="E136" s="54" t="n">
        <x:f>AVERAGE('原始数据'!$E$352,'原始数据'!$E$424,'原始数据'!$E$496,'原始数据'!$E$568)</x:f>
        <x:v>0.056</x:v>
      </x:c>
      <x:c r="F136" s="57" t="n">
        <x:f>MIN('原始数据'!$D$352,'原始数据'!$D$424,'原始数据'!$D$496,'原始数据'!$D$568)</x:f>
        <x:v>0.8593</x:v>
      </x:c>
      <x:c r="G136" s="57" t="n">
        <x:f>MAX('原始数据'!$E$352,'原始数据'!$E$424,'原始数据'!$E$496,'原始数据'!$E$568)</x:f>
        <x:v>0.096</x:v>
      </x:c>
      <x:c r="H136" s="60" t="n">
        <x:f>STDEV.P('原始数据'!$D$352,'原始数据'!$D$424,'原始数据'!$D$496,'原始数据'!$D$568)</x:f>
        <x:v>0.014398697857792584</x:v>
      </x:c>
      <x:c r="I136" s="63" t="n">
        <x:f>STDEV.P('原始数据'!$E$352,'原始数据'!$E$424,'原始数据'!$E$496,'原始数据'!$E$568)</x:f>
        <x:v>0.024657656011875907</x:v>
      </x:c>
    </x:row>
    <x:row r="137" ht="20" customHeight="1">
      <x:c r="A137" s="27" t="str">
        <x:v>CADE-IDS</x:v>
      </x:c>
      <x:c r="B137" s="30" t="str">
        <x:v>2018-01</x:v>
      </x:c>
      <x:c r="C137" s="51" t="n">
        <x:f>COUNT('原始数据'!$D$353,'原始数据'!$D$425,'原始数据'!$D$497,'原始数据'!$D$569)</x:f>
        <x:v>4</x:v>
      </x:c>
      <x:c r="D137" s="54" t="n">
        <x:f>AVERAGE('原始数据'!$D$353,'原始数据'!$D$425,'原始数据'!$D$497,'原始数据'!$D$569)</x:f>
        <x:v>0.888525</x:v>
      </x:c>
      <x:c r="E137" s="54" t="n">
        <x:f>AVERAGE('原始数据'!$E$353,'原始数据'!$E$425,'原始数据'!$E$497,'原始数据'!$E$569)</x:f>
        <x:v>0.114375</x:v>
      </x:c>
      <x:c r="F137" s="57" t="n">
        <x:f>MIN('原始数据'!$D$353,'原始数据'!$D$425,'原始数据'!$D$497,'原始数据'!$D$569)</x:f>
        <x:v>0.8816</x:v>
      </x:c>
      <x:c r="G137" s="57" t="n">
        <x:f>MAX('原始数据'!$E$353,'原始数据'!$E$425,'原始数据'!$E$497,'原始数据'!$E$569)</x:f>
        <x:v>0.1307</x:v>
      </x:c>
      <x:c r="H137" s="60" t="n">
        <x:f>STDEV.P('原始数据'!$D$353,'原始数据'!$D$425,'原始数据'!$D$497,'原始数据'!$D$569)</x:f>
        <x:v>0.004736757857437898</x:v>
      </x:c>
      <x:c r="I137" s="63" t="n">
        <x:f>STDEV.P('原始数据'!$E$353,'原始数据'!$E$425,'原始数据'!$E$497,'原始数据'!$E$569)</x:f>
        <x:v>0.01347894190951204</x:v>
      </x:c>
    </x:row>
    <x:row r="138" ht="20" customHeight="1">
      <x:c r="A138" s="27" t="str">
        <x:v>CADE-IDS</x:v>
      </x:c>
      <x:c r="B138" s="30" t="str">
        <x:v>2018-02</x:v>
      </x:c>
      <x:c r="C138" s="51" t="n">
        <x:f>COUNT('原始数据'!$D$354,'原始数据'!$D$426,'原始数据'!$D$498,'原始数据'!$D$570)</x:f>
        <x:v>4</x:v>
      </x:c>
      <x:c r="D138" s="54" t="n">
        <x:f>AVERAGE('原始数据'!$D$354,'原始数据'!$D$426,'原始数据'!$D$498,'原始数据'!$D$570)</x:f>
        <x:v>0.9013249999999999</x:v>
      </x:c>
      <x:c r="E138" s="54" t="n">
        <x:f>AVERAGE('原始数据'!$E$354,'原始数据'!$E$426,'原始数据'!$E$498,'原始数据'!$E$570)</x:f>
        <x:v>0.1224</x:v>
      </x:c>
      <x:c r="F138" s="57" t="n">
        <x:f>MIN('原始数据'!$D$354,'原始数据'!$D$426,'原始数据'!$D$498,'原始数据'!$D$570)</x:f>
        <x:v>0.8803</x:v>
      </x:c>
      <x:c r="G138" s="57" t="n">
        <x:f>MAX('原始数据'!$E$354,'原始数据'!$E$426,'原始数据'!$E$498,'原始数据'!$E$570)</x:f>
        <x:v>0.1655</x:v>
      </x:c>
      <x:c r="H138" s="60" t="n">
        <x:f>STDEV.P('原始数据'!$D$354,'原始数据'!$D$426,'原始数据'!$D$498,'原始数据'!$D$570)</x:f>
        <x:v>0.02005422337065189</x:v>
      </x:c>
      <x:c r="I138" s="63" t="n">
        <x:f>STDEV.P('原始数据'!$E$354,'原始数据'!$E$426,'原始数据'!$E$498,'原始数据'!$E$570)</x:f>
        <x:v>0.03787096513161501</x:v>
      </x:c>
    </x:row>
    <x:row r="139" ht="20" customHeight="1">
      <x:c r="A139" s="27" t="str">
        <x:v>CADE-IDS</x:v>
      </x:c>
      <x:c r="B139" s="30" t="str">
        <x:v>2018-03</x:v>
      </x:c>
      <x:c r="C139" s="51" t="n">
        <x:f>COUNT('原始数据'!$D$355,'原始数据'!$D$427,'原始数据'!$D$499,'原始数据'!$D$571)</x:f>
        <x:v>4</x:v>
      </x:c>
      <x:c r="D139" s="54" t="n">
        <x:f>AVERAGE('原始数据'!$D$355,'原始数据'!$D$427,'原始数据'!$D$499,'原始数据'!$D$571)</x:f>
        <x:v>0.892275</x:v>
      </x:c>
      <x:c r="E139" s="54" t="n">
        <x:f>AVERAGE('原始数据'!$E$355,'原始数据'!$E$427,'原始数据'!$E$499,'原始数据'!$E$571)</x:f>
        <x:v>0.089425</x:v>
      </x:c>
      <x:c r="F139" s="57" t="n">
        <x:f>MIN('原始数据'!$D$355,'原始数据'!$D$427,'原始数据'!$D$499,'原始数据'!$D$571)</x:f>
        <x:v>0.881</x:v>
      </x:c>
      <x:c r="G139" s="57" t="n">
        <x:f>MAX('原始数据'!$E$355,'原始数据'!$E$427,'原始数据'!$E$499,'原始数据'!$E$571)</x:f>
        <x:v>0.1168</x:v>
      </x:c>
      <x:c r="H139" s="60" t="n">
        <x:f>STDEV.P('原始数据'!$D$355,'原始数据'!$D$427,'原始数据'!$D$499,'原始数据'!$D$571)</x:f>
        <x:v>0.0068816331637192064</x:v>
      </x:c>
      <x:c r="I139" s="63" t="n">
        <x:f>STDEV.P('原始数据'!$E$355,'原始数据'!$E$427,'原始数据'!$E$499,'原始数据'!$E$571)</x:f>
        <x:v>0.020888079734623765</x:v>
      </x:c>
    </x:row>
    <x:row r="140" ht="20" customHeight="1">
      <x:c r="A140" s="27" t="str">
        <x:v>CADE-IDS</x:v>
      </x:c>
      <x:c r="B140" s="30" t="str">
        <x:v>2018-04</x:v>
      </x:c>
      <x:c r="C140" s="51" t="n">
        <x:f>COUNT('原始数据'!$D$356,'原始数据'!$D$428,'原始数据'!$D$500,'原始数据'!$D$572)</x:f>
        <x:v>4</x:v>
      </x:c>
      <x:c r="D140" s="54" t="n">
        <x:f>AVERAGE('原始数据'!$D$356,'原始数据'!$D$428,'原始数据'!$D$500,'原始数据'!$D$572)</x:f>
        <x:v>0.91955</x:v>
      </x:c>
      <x:c r="E140" s="54" t="n">
        <x:f>AVERAGE('原始数据'!$E$356,'原始数据'!$E$428,'原始数据'!$E$500,'原始数据'!$E$572)</x:f>
        <x:v>0.07475</x:v>
      </x:c>
      <x:c r="F140" s="57" t="n">
        <x:f>MIN('原始数据'!$D$356,'原始数据'!$D$428,'原始数据'!$D$500,'原始数据'!$D$572)</x:f>
        <x:v>0.9176</x:v>
      </x:c>
      <x:c r="G140" s="57" t="n">
        <x:f>MAX('原始数据'!$E$356,'原始数据'!$E$428,'原始数据'!$E$500,'原始数据'!$E$572)</x:f>
        <x:v>0.089</x:v>
      </x:c>
      <x:c r="H140" s="60" t="n">
        <x:f>STDEV.P('原始数据'!$D$356,'原始数据'!$D$428,'原始数据'!$D$500,'原始数据'!$D$572)</x:f>
        <x:v>0.0018794946129212498</x:v>
      </x:c>
      <x:c r="I140" s="63" t="n">
        <x:f>STDEV.P('原始数据'!$E$356,'原始数据'!$E$428,'原始数据'!$E$500,'原始数据'!$E$572)</x:f>
        <x:v>0.011273530946424904</x:v>
      </x:c>
    </x:row>
    <x:row r="141" ht="20" customHeight="1">
      <x:c r="A141" s="27" t="str">
        <x:v>CADE-IDS</x:v>
      </x:c>
      <x:c r="B141" s="30" t="str">
        <x:v>2018-05</x:v>
      </x:c>
      <x:c r="C141" s="51" t="n">
        <x:f>COUNT('原始数据'!$D$357,'原始数据'!$D$429,'原始数据'!$D$501,'原始数据'!$D$573)</x:f>
        <x:v>4</x:v>
      </x:c>
      <x:c r="D141" s="54" t="n">
        <x:f>AVERAGE('原始数据'!$D$357,'原始数据'!$D$429,'原始数据'!$D$501,'原始数据'!$D$573)</x:f>
        <x:v>0.821</x:v>
      </x:c>
      <x:c r="E141" s="54" t="n">
        <x:f>AVERAGE('原始数据'!$E$357,'原始数据'!$E$429,'原始数据'!$E$501,'原始数据'!$E$573)</x:f>
        <x:v>0.07542499999999999</x:v>
      </x:c>
      <x:c r="F141" s="57" t="n">
        <x:f>MIN('原始数据'!$D$357,'原始数据'!$D$429,'原始数据'!$D$501,'原始数据'!$D$573)</x:f>
        <x:v>0.7072</x:v>
      </x:c>
      <x:c r="G141" s="57" t="n">
        <x:f>MAX('原始数据'!$E$357,'原始数据'!$E$429,'原始数据'!$E$501,'原始数据'!$E$573)</x:f>
        <x:v>0.1074</x:v>
      </x:c>
      <x:c r="H141" s="60" t="n">
        <x:f>STDEV.P('原始数据'!$D$357,'原始数据'!$D$429,'原始数据'!$D$501,'原始数据'!$D$573)</x:f>
        <x:v>0.10793208512763941</x:v>
      </x:c>
      <x:c r="I141" s="63" t="n">
        <x:f>STDEV.P('原始数据'!$E$357,'原始数据'!$E$429,'原始数据'!$E$501,'原始数据'!$E$573)</x:f>
        <x:v>0.01943455363521375</x:v>
      </x:c>
    </x:row>
    <x:row r="142" ht="20" customHeight="1">
      <x:c r="A142" s="27" t="str">
        <x:v>CADE-IDS</x:v>
      </x:c>
      <x:c r="B142" s="30" t="str">
        <x:v>2018-06</x:v>
      </x:c>
      <x:c r="C142" s="51" t="n">
        <x:f>COUNT('原始数据'!$D$358,'原始数据'!$D$430,'原始数据'!$D$502,'原始数据'!$D$574)</x:f>
        <x:v>4</x:v>
      </x:c>
      <x:c r="D142" s="54" t="n">
        <x:f>AVERAGE('原始数据'!$D$358,'原始数据'!$D$430,'原始数据'!$D$502,'原始数据'!$D$574)</x:f>
        <x:v>0.88445</x:v>
      </x:c>
      <x:c r="E142" s="54" t="n">
        <x:f>AVERAGE('原始数据'!$E$358,'原始数据'!$E$430,'原始数据'!$E$502,'原始数据'!$E$574)</x:f>
        <x:v>0.14275</x:v>
      </x:c>
      <x:c r="F142" s="57" t="n">
        <x:f>MIN('原始数据'!$D$358,'原始数据'!$D$430,'原始数据'!$D$502,'原始数据'!$D$574)</x:f>
        <x:v>0.825</x:v>
      </x:c>
      <x:c r="G142" s="57" t="n">
        <x:f>MAX('原始数据'!$E$358,'原始数据'!$E$430,'原始数据'!$E$502,'原始数据'!$E$574)</x:f>
        <x:v>0.2238</x:v>
      </x:c>
      <x:c r="H142" s="60" t="n">
        <x:f>STDEV.P('原始数据'!$D$358,'原始数据'!$D$430,'原始数据'!$D$502,'原始数据'!$D$574)</x:f>
        <x:v>0.04694451512157732</x:v>
      </x:c>
      <x:c r="I142" s="63" t="n">
        <x:f>STDEV.P('原始数据'!$E$358,'原始数据'!$E$430,'原始数据'!$E$502,'原始数据'!$E$574)</x:f>
        <x:v>0.06257293744103756</x:v>
      </x:c>
    </x:row>
    <x:row r="143" ht="20" customHeight="1">
      <x:c r="A143" s="27" t="str">
        <x:v>CADE-IDS</x:v>
      </x:c>
      <x:c r="B143" s="30" t="str">
        <x:v>2018-07</x:v>
      </x:c>
      <x:c r="C143" s="51" t="n">
        <x:f>COUNT('原始数据'!$D$359,'原始数据'!$D$431,'原始数据'!$D$503,'原始数据'!$D$575)</x:f>
        <x:v>4</x:v>
      </x:c>
      <x:c r="D143" s="54" t="n">
        <x:f>AVERAGE('原始数据'!$D$359,'原始数据'!$D$431,'原始数据'!$D$503,'原始数据'!$D$575)</x:f>
        <x:v>0.8767499999999999</x:v>
      </x:c>
      <x:c r="E143" s="54" t="n">
        <x:f>AVERAGE('原始数据'!$E$359,'原始数据'!$E$431,'原始数据'!$E$503,'原始数据'!$E$575)</x:f>
        <x:v>0.17827500000000002</x:v>
      </x:c>
      <x:c r="F143" s="57" t="n">
        <x:f>MIN('原始数据'!$D$359,'原始数据'!$D$431,'原始数据'!$D$503,'原始数据'!$D$575)</x:f>
        <x:v>0.7977</x:v>
      </x:c>
      <x:c r="G143" s="57" t="n">
        <x:f>MAX('原始数据'!$E$359,'原始数据'!$E$431,'原始数据'!$E$503,'原始数据'!$E$575)</x:f>
        <x:v>0.2807</x:v>
      </x:c>
      <x:c r="H143" s="60" t="n">
        <x:f>STDEV.P('原始数据'!$D$359,'原始数据'!$D$431,'原始数据'!$D$503,'原始数据'!$D$575)</x:f>
        <x:v>0.04764958027097409</x:v>
      </x:c>
      <x:c r="I143" s="63" t="n">
        <x:f>STDEV.P('原始数据'!$E$359,'原始数据'!$E$431,'原始数据'!$E$503,'原始数据'!$E$575)</x:f>
        <x:v>0.0647222672269753</x:v>
      </x:c>
    </x:row>
    <x:row r="144" ht="20" customHeight="1">
      <x:c r="A144" s="27" t="str">
        <x:v>CADE-IDS</x:v>
      </x:c>
      <x:c r="B144" s="30" t="str">
        <x:v>2018-08</x:v>
      </x:c>
      <x:c r="C144" s="51" t="n">
        <x:f>COUNT('原始数据'!$D$360,'原始数据'!$D$432,'原始数据'!$D$504,'原始数据'!$D$576)</x:f>
        <x:v>4</x:v>
      </x:c>
      <x:c r="D144" s="54" t="n">
        <x:f>AVERAGE('原始数据'!$D$360,'原始数据'!$D$432,'原始数据'!$D$504,'原始数据'!$D$576)</x:f>
        <x:v>0.8784</x:v>
      </x:c>
      <x:c r="E144" s="54" t="n">
        <x:f>AVERAGE('原始数据'!$E$360,'原始数据'!$E$432,'原始数据'!$E$504,'原始数据'!$E$576)</x:f>
        <x:v>0.12112500000000001</x:v>
      </x:c>
      <x:c r="F144" s="57" t="n">
        <x:f>MIN('原始数据'!$D$360,'原始数据'!$D$432,'原始数据'!$D$504,'原始数据'!$D$576)</x:f>
        <x:v>0.8192</x:v>
      </x:c>
      <x:c r="G144" s="57" t="n">
        <x:f>MAX('原始数据'!$E$360,'原始数据'!$E$432,'原始数据'!$E$504,'原始数据'!$E$576)</x:f>
        <x:v>0.1271</x:v>
      </x:c>
      <x:c r="H144" s="60" t="n">
        <x:f>STDEV.P('原始数据'!$D$360,'原始数据'!$D$432,'原始数据'!$D$504,'原始数据'!$D$576)</x:f>
        <x:v>0.03429715731660567</x:v>
      </x:c>
      <x:c r="I144" s="63" t="n">
        <x:f>STDEV.P('原始数据'!$E$360,'原始数据'!$E$432,'原始数据'!$E$504,'原始数据'!$E$576)</x:f>
        <x:v>0.00373388202813104</x:v>
      </x:c>
    </x:row>
    <x:row r="145" ht="20" customHeight="1">
      <x:c r="A145" s="27" t="str">
        <x:v>CADE-IDS</x:v>
      </x:c>
      <x:c r="B145" s="30" t="str">
        <x:v>2018-09</x:v>
      </x:c>
      <x:c r="C145" s="51" t="n">
        <x:f>COUNT('原始数据'!$D$361,'原始数据'!$D$433,'原始数据'!$D$505,'原始数据'!$D$577)</x:f>
        <x:v>4</x:v>
      </x:c>
      <x:c r="D145" s="54" t="n">
        <x:f>AVERAGE('原始数据'!$D$361,'原始数据'!$D$433,'原始数据'!$D$505,'原始数据'!$D$577)</x:f>
        <x:v>0.8454250000000001</x:v>
      </x:c>
      <x:c r="E145" s="54" t="n">
        <x:f>AVERAGE('原始数据'!$E$361,'原始数据'!$E$433,'原始数据'!$E$505,'原始数据'!$E$577)</x:f>
        <x:v>0.18667499999999998</x:v>
      </x:c>
      <x:c r="F145" s="57" t="n">
        <x:f>MIN('原始数据'!$D$361,'原始数据'!$D$433,'原始数据'!$D$505,'原始数据'!$D$577)</x:f>
        <x:v>0.8211</x:v>
      </x:c>
      <x:c r="G145" s="57" t="n">
        <x:f>MAX('原始数据'!$E$361,'原始数据'!$E$433,'原始数据'!$E$505,'原始数据'!$E$577)</x:f>
        <x:v>0.1921</x:v>
      </x:c>
      <x:c r="H145" s="60" t="n">
        <x:f>STDEV.P('原始数据'!$D$361,'原始数据'!$D$433,'原始数据'!$D$505,'原始数据'!$D$577)</x:f>
        <x:v>0.014093859478510483</x:v>
      </x:c>
      <x:c r="I145" s="63" t="n">
        <x:f>STDEV.P('原始数据'!$E$361,'原始数据'!$E$433,'原始数据'!$E$505,'原始数据'!$E$577)</x:f>
        <x:v>0.003258354646136602</x:v>
      </x:c>
    </x:row>
    <x:row r="146" ht="20" customHeight="1">
      <x:c r="A146" s="27" t="str">
        <x:v>CADE-IDS</x:v>
      </x:c>
      <x:c r="B146" s="30" t="str">
        <x:v>2018-10</x:v>
      </x:c>
      <x:c r="C146" s="51" t="n">
        <x:f>COUNT('原始数据'!$D$362,'原始数据'!$D$434,'原始数据'!$D$506,'原始数据'!$D$578)</x:f>
        <x:v>4</x:v>
      </x:c>
      <x:c r="D146" s="54" t="n">
        <x:f>AVERAGE('原始数据'!$D$362,'原始数据'!$D$434,'原始数据'!$D$506,'原始数据'!$D$578)</x:f>
        <x:v>0.87245</x:v>
      </x:c>
      <x:c r="E146" s="54" t="n">
        <x:f>AVERAGE('原始数据'!$E$362,'原始数据'!$E$434,'原始数据'!$E$506,'原始数据'!$E$578)</x:f>
        <x:v>0.18712499999999999</x:v>
      </x:c>
      <x:c r="F146" s="57" t="n">
        <x:f>MIN('原始数据'!$D$362,'原始数据'!$D$434,'原始数据'!$D$506,'原始数据'!$D$578)</x:f>
        <x:v>0.8593</x:v>
      </x:c>
      <x:c r="G146" s="57" t="n">
        <x:f>MAX('原始数据'!$E$362,'原始数据'!$E$434,'原始数据'!$E$506,'原始数据'!$E$578)</x:f>
        <x:v>0.1947</x:v>
      </x:c>
      <x:c r="H146" s="60" t="n">
        <x:f>STDEV.P('原始数据'!$D$362,'原始数据'!$D$434,'原始数据'!$D$506,'原始数据'!$D$578)</x:f>
        <x:v>0.0077490321976360485</x:v>
      </x:c>
      <x:c r="I146" s="63" t="n">
        <x:f>STDEV.P('原始数据'!$E$362,'原始数据'!$E$434,'原始数据'!$E$506,'原始数据'!$E$578)</x:f>
        <x:v>0.005012671443452082</x:v>
      </x:c>
    </x:row>
    <x:row r="147" ht="20" customHeight="1">
      <x:c r="A147" s="27" t="str">
        <x:v>CADE-IDS</x:v>
      </x:c>
      <x:c r="B147" s="30" t="str">
        <x:v>2018-11</x:v>
      </x:c>
      <x:c r="C147" s="51" t="n">
        <x:f>COUNT('原始数据'!$D$363,'原始数据'!$D$435,'原始数据'!$D$507,'原始数据'!$D$579)</x:f>
        <x:v>4</x:v>
      </x:c>
      <x:c r="D147" s="54" t="n">
        <x:f>AVERAGE('原始数据'!$D$363,'原始数据'!$D$435,'原始数据'!$D$507,'原始数据'!$D$579)</x:f>
        <x:v>0.94085</x:v>
      </x:c>
      <x:c r="E147" s="54" t="n">
        <x:f>AVERAGE('原始数据'!$E$363,'原始数据'!$E$435,'原始数据'!$E$507,'原始数据'!$E$579)</x:f>
        <x:v>0.06534999999999999</x:v>
      </x:c>
      <x:c r="F147" s="57" t="n">
        <x:f>MIN('原始数据'!$D$363,'原始数据'!$D$435,'原始数据'!$D$507,'原始数据'!$D$579)</x:f>
        <x:v>0.931</x:v>
      </x:c>
      <x:c r="G147" s="57" t="n">
        <x:f>MAX('原始数据'!$E$363,'原始数据'!$E$435,'原始数据'!$E$507,'原始数据'!$E$579)</x:f>
        <x:v>0.0767</x:v>
      </x:c>
      <x:c r="H147" s="60" t="n">
        <x:f>STDEV.P('原始数据'!$D$363,'原始数据'!$D$435,'原始数据'!$D$507,'原始数据'!$D$579)</x:f>
        <x:v>0.006114940719254747</x:v>
      </x:c>
      <x:c r="I147" s="63" t="n">
        <x:f>STDEV.P('原始数据'!$E$363,'原始数据'!$E$435,'原始数据'!$E$507,'原始数据'!$E$579)</x:f>
        <x:v>0.009982108995598076</x:v>
      </x:c>
    </x:row>
    <x:row r="148" ht="20" customHeight="1">
      <x:c r="A148" s="27" t="str">
        <x:v>CADE-IDS</x:v>
      </x:c>
      <x:c r="B148" s="30" t="str">
        <x:v>2018-12</x:v>
      </x:c>
      <x:c r="C148" s="51" t="n">
        <x:f>COUNT('原始数据'!$D$364,'原始数据'!$D$436,'原始数据'!$D$508,'原始数据'!$D$580)</x:f>
        <x:v>4</x:v>
      </x:c>
      <x:c r="D148" s="54" t="n">
        <x:f>AVERAGE('原始数据'!$D$364,'原始数据'!$D$436,'原始数据'!$D$508,'原始数据'!$D$580)</x:f>
        <x:v>0.9490250000000001</x:v>
      </x:c>
      <x:c r="E148" s="54" t="n">
        <x:f>AVERAGE('原始数据'!$E$364,'原始数据'!$E$436,'原始数据'!$E$508,'原始数据'!$E$580)</x:f>
        <x:v>0.0363</x:v>
      </x:c>
      <x:c r="F148" s="57" t="n">
        <x:f>MIN('原始数据'!$D$364,'原始数据'!$D$436,'原始数据'!$D$508,'原始数据'!$D$580)</x:f>
        <x:v>0.937</x:v>
      </x:c>
      <x:c r="G148" s="57" t="n">
        <x:f>MAX('原始数据'!$E$364,'原始数据'!$E$436,'原始数据'!$E$508,'原始数据'!$E$580)</x:f>
        <x:v>0.0415</x:v>
      </x:c>
      <x:c r="H148" s="60" t="n">
        <x:f>STDEV.P('原始数据'!$D$364,'原始数据'!$D$436,'原始数据'!$D$508,'原始数据'!$D$580)</x:f>
        <x:v>0.007903282545879246</x:v>
      </x:c>
      <x:c r="I148" s="63" t="n">
        <x:f>STDEV.P('原始数据'!$E$364,'原始数据'!$E$436,'原始数据'!$E$508,'原始数据'!$E$580)</x:f>
        <x:v>0.0036769552621700482</x:v>
      </x:c>
    </x:row>
    <x:row r="149" ht="20" customHeight="1">
      <x:c r="A149" s="27" t="str">
        <x:v>HCL</x:v>
      </x:c>
      <x:c r="B149" s="30" t="str">
        <x:v>2013-01</x:v>
      </x:c>
      <x:c r="C149" s="51" t="n">
        <x:f>COUNT('原始数据'!$D$581,'原始数据'!$D$653,'原始数据'!$D$725,'原始数据'!$D$797)</x:f>
        <x:v>4</x:v>
      </x:c>
      <x:c r="D149" s="54" t="n">
        <x:f>AVERAGE('原始数据'!$D$581,'原始数据'!$D$653,'原始数据'!$D$725,'原始数据'!$D$797)</x:f>
        <x:v>0.954375</x:v>
      </x:c>
      <x:c r="E149" s="54" t="n">
        <x:f>AVERAGE('原始数据'!$E$581,'原始数据'!$E$653,'原始数据'!$E$725,'原始数据'!$E$797)</x:f>
        <x:v>0.0265</x:v>
      </x:c>
      <x:c r="F149" s="57" t="n">
        <x:f>MIN('原始数据'!$D$581,'原始数据'!$D$653,'原始数据'!$D$725,'原始数据'!$D$797)</x:f>
        <x:v>0.9501</x:v>
      </x:c>
      <x:c r="G149" s="57" t="n">
        <x:f>MAX('原始数据'!$E$581,'原始数据'!$E$653,'原始数据'!$E$725,'原始数据'!$E$797)</x:f>
        <x:v>0.028</x:v>
      </x:c>
      <x:c r="H149" s="60" t="n">
        <x:f>STDEV.P('原始数据'!$D$581,'原始数据'!$D$653,'原始数据'!$D$725,'原始数据'!$D$797)</x:f>
        <x:v>0.0024681724007856666</x:v>
      </x:c>
      <x:c r="I149" s="63" t="n">
        <x:f>STDEV.P('原始数据'!$E$581,'原始数据'!$E$653,'原始数据'!$E$725,'原始数据'!$E$797)</x:f>
        <x:v>0.0008660254037844395</x:v>
      </x:c>
    </x:row>
    <x:row r="150" ht="20" customHeight="1">
      <x:c r="A150" s="27" t="str">
        <x:v>HCL</x:v>
      </x:c>
      <x:c r="B150" s="30" t="str">
        <x:v>2013-02</x:v>
      </x:c>
      <x:c r="C150" s="51" t="n">
        <x:f>COUNT('原始数据'!$D$582,'原始数据'!$D$654,'原始数据'!$D$726,'原始数据'!$D$798)</x:f>
        <x:v>4</x:v>
      </x:c>
      <x:c r="D150" s="54" t="n">
        <x:f>AVERAGE('原始数据'!$D$582,'原始数据'!$D$654,'原始数据'!$D$726,'原始数据'!$D$798)</x:f>
        <x:v>0.9077249999999999</x:v>
      </x:c>
      <x:c r="E150" s="54" t="n">
        <x:f>AVERAGE('原始数据'!$E$582,'原始数据'!$E$654,'原始数据'!$E$726,'原始数据'!$E$798)</x:f>
        <x:v>0.146875</x:v>
      </x:c>
      <x:c r="F150" s="57" t="n">
        <x:f>MIN('原始数据'!$D$582,'原始数据'!$D$654,'原始数据'!$D$726,'原始数据'!$D$798)</x:f>
        <x:v>0.9052</x:v>
      </x:c>
      <x:c r="G150" s="57" t="n">
        <x:f>MAX('原始数据'!$E$582,'原始数据'!$E$654,'原始数据'!$E$726,'原始数据'!$E$798)</x:f>
        <x:v>0.1562</x:v>
      </x:c>
      <x:c r="H150" s="60" t="n">
        <x:f>STDEV.P('原始数据'!$D$582,'原始数据'!$D$654,'原始数据'!$D$726,'原始数据'!$D$798)</x:f>
        <x:v>0.0030914195768287564</x:v>
      </x:c>
      <x:c r="I150" s="63" t="n">
        <x:f>STDEV.P('原始数据'!$E$582,'原始数据'!$E$654,'原始数据'!$E$726,'原始数据'!$E$798)</x:f>
        <x:v>0.007942724658453172</x:v>
      </x:c>
    </x:row>
    <x:row r="151" ht="20" customHeight="1">
      <x:c r="A151" s="27" t="str">
        <x:v>HCL</x:v>
      </x:c>
      <x:c r="B151" s="30" t="str">
        <x:v>2013-03</x:v>
      </x:c>
      <x:c r="C151" s="51" t="n">
        <x:f>COUNT('原始数据'!$D$583,'原始数据'!$D$655,'原始数据'!$D$727,'原始数据'!$D$799)</x:f>
        <x:v>4</x:v>
      </x:c>
      <x:c r="D151" s="54" t="n">
        <x:f>AVERAGE('原始数据'!$D$583,'原始数据'!$D$655,'原始数据'!$D$727,'原始数据'!$D$799)</x:f>
        <x:v>0.907125</x:v>
      </x:c>
      <x:c r="E151" s="54" t="n">
        <x:f>AVERAGE('原始数据'!$E$583,'原始数据'!$E$655,'原始数据'!$E$727,'原始数据'!$E$799)</x:f>
        <x:v>0.11945</x:v>
      </x:c>
      <x:c r="F151" s="57" t="n">
        <x:f>MIN('原始数据'!$D$583,'原始数据'!$D$655,'原始数据'!$D$727,'原始数据'!$D$799)</x:f>
        <x:v>0.9055</x:v>
      </x:c>
      <x:c r="G151" s="57" t="n">
        <x:f>MAX('原始数据'!$E$583,'原始数据'!$E$655,'原始数据'!$E$727,'原始数据'!$E$799)</x:f>
        <x:v>0.1395</x:v>
      </x:c>
      <x:c r="H151" s="60" t="n">
        <x:f>STDEV.P('原始数据'!$D$583,'原始数据'!$D$655,'原始数据'!$D$727,'原始数据'!$D$799)</x:f>
        <x:v>0.001478808642117026</x:v>
      </x:c>
      <x:c r="I151" s="63" t="n">
        <x:f>STDEV.P('原始数据'!$E$583,'原始数据'!$E$655,'原始数据'!$E$727,'原始数据'!$E$799)</x:f>
        <x:v>0.012316756878334495</x:v>
      </x:c>
    </x:row>
    <x:row r="152" ht="20" customHeight="1">
      <x:c r="A152" s="27" t="str">
        <x:v>HCL</x:v>
      </x:c>
      <x:c r="B152" s="30" t="str">
        <x:v>2013-04</x:v>
      </x:c>
      <x:c r="C152" s="51" t="n">
        <x:f>COUNT('原始数据'!$D$584,'原始数据'!$D$656,'原始数据'!$D$728,'原始数据'!$D$800)</x:f>
        <x:v>4</x:v>
      </x:c>
      <x:c r="D152" s="54" t="n">
        <x:f>AVERAGE('原始数据'!$D$584,'原始数据'!$D$656,'原始数据'!$D$728,'原始数据'!$D$800)</x:f>
        <x:v>0.9205</x:v>
      </x:c>
      <x:c r="E152" s="54" t="n">
        <x:f>AVERAGE('原始数据'!$E$584,'原始数据'!$E$656,'原始数据'!$E$728,'原始数据'!$E$800)</x:f>
        <x:v>0.12789999999999999</x:v>
      </x:c>
      <x:c r="F152" s="57" t="n">
        <x:f>MIN('原始数据'!$D$584,'原始数据'!$D$656,'原始数据'!$D$728,'原始数据'!$D$800)</x:f>
        <x:v>0.9136</x:v>
      </x:c>
      <x:c r="G152" s="57" t="n">
        <x:f>MAX('原始数据'!$E$584,'原始数据'!$E$656,'原始数据'!$E$728,'原始数据'!$E$800)</x:f>
        <x:v>0.144</x:v>
      </x:c>
      <x:c r="H152" s="60" t="n">
        <x:f>STDEV.P('原始数据'!$D$584,'原始数据'!$D$656,'原始数据'!$D$728,'原始数据'!$D$800)</x:f>
        <x:v>0.009306718003678856</x:v>
      </x:c>
      <x:c r="I152" s="63" t="n">
        <x:f>STDEV.P('原始数据'!$E$584,'原始数据'!$E$656,'原始数据'!$E$728,'原始数据'!$E$800)</x:f>
        <x:v>0.02206105165217651</x:v>
      </x:c>
    </x:row>
    <x:row r="153" ht="20" customHeight="1">
      <x:c r="A153" s="27" t="str">
        <x:v>HCL</x:v>
      </x:c>
      <x:c r="B153" s="30" t="str">
        <x:v>2013-05</x:v>
      </x:c>
      <x:c r="C153" s="51" t="n">
        <x:f>COUNT('原始数据'!$D$585,'原始数据'!$D$657,'原始数据'!$D$729,'原始数据'!$D$801)</x:f>
        <x:v>4</x:v>
      </x:c>
      <x:c r="D153" s="54" t="n">
        <x:f>AVERAGE('原始数据'!$D$585,'原始数据'!$D$657,'原始数据'!$D$729,'原始数据'!$D$801)</x:f>
        <x:v>0.892225</x:v>
      </x:c>
      <x:c r="E153" s="54" t="n">
        <x:f>AVERAGE('原始数据'!$E$585,'原始数据'!$E$657,'原始数据'!$E$729,'原始数据'!$E$801)</x:f>
        <x:v>0.17842499999999997</x:v>
      </x:c>
      <x:c r="F153" s="57" t="n">
        <x:f>MIN('原始数据'!$D$585,'原始数据'!$D$657,'原始数据'!$D$729,'原始数据'!$D$801)</x:f>
        <x:v>0.8339</x:v>
      </x:c>
      <x:c r="G153" s="57" t="n">
        <x:f>MAX('原始数据'!$E$585,'原始数据'!$E$657,'原始数据'!$E$729,'原始数据'!$E$801)</x:f>
        <x:v>0.2759</x:v>
      </x:c>
      <x:c r="H153" s="60" t="n">
        <x:f>STDEV.P('原始数据'!$D$585,'原始数据'!$D$657,'原始数据'!$D$729,'原始数据'!$D$801)</x:f>
        <x:v>0.03451936956260936</x:v>
      </x:c>
      <x:c r="I153" s="63" t="n">
        <x:f>STDEV.P('原始数据'!$E$585,'原始数据'!$E$657,'原始数据'!$E$729,'原始数据'!$E$801)</x:f>
        <x:v>0.05878415496543264</x:v>
      </x:c>
    </x:row>
    <x:row r="154" ht="20" customHeight="1">
      <x:c r="A154" s="27" t="str">
        <x:v>HCL</x:v>
      </x:c>
      <x:c r="B154" s="30" t="str">
        <x:v>2013-06</x:v>
      </x:c>
      <x:c r="C154" s="51" t="n">
        <x:f>COUNT('原始数据'!$D$586,'原始数据'!$D$658,'原始数据'!$D$730,'原始数据'!$D$802)</x:f>
        <x:v>4</x:v>
      </x:c>
      <x:c r="D154" s="54" t="n">
        <x:f>AVERAGE('原始数据'!$D$586,'原始数据'!$D$658,'原始数据'!$D$730,'原始数据'!$D$802)</x:f>
        <x:v>0.916725</x:v>
      </x:c>
      <x:c r="E154" s="54" t="n">
        <x:f>AVERAGE('原始数据'!$E$586,'原始数据'!$E$658,'原始数据'!$E$730,'原始数据'!$E$802)</x:f>
        <x:v>0.12204999999999999</x:v>
      </x:c>
      <x:c r="F154" s="57" t="n">
        <x:f>MIN('原始数据'!$D$586,'原始数据'!$D$658,'原始数据'!$D$730,'原始数据'!$D$802)</x:f>
        <x:v>0.8969</x:v>
      </x:c>
      <x:c r="G154" s="57" t="n">
        <x:f>MAX('原始数据'!$E$586,'原始数据'!$E$658,'原始数据'!$E$730,'原始数据'!$E$802)</x:f>
        <x:v>0.1509</x:v>
      </x:c>
      <x:c r="H154" s="60" t="n">
        <x:f>STDEV.P('原始数据'!$D$586,'原始数据'!$D$658,'原始数据'!$D$730,'原始数据'!$D$802)</x:f>
        <x:v>0.015289273200515426</x:v>
      </x:c>
      <x:c r="I154" s="63" t="n">
        <x:f>STDEV.P('原始数据'!$E$586,'原始数据'!$E$658,'原始数据'!$E$730,'原始数据'!$E$802)</x:f>
        <x:v>0.029772512490550747</x:v>
      </x:c>
    </x:row>
    <x:row r="155" ht="20" customHeight="1">
      <x:c r="A155" s="27" t="str">
        <x:v>HCL</x:v>
      </x:c>
      <x:c r="B155" s="30" t="str">
        <x:v>2013-07</x:v>
      </x:c>
      <x:c r="C155" s="51" t="n">
        <x:f>COUNT('原始数据'!$D$587,'原始数据'!$D$659,'原始数据'!$D$731,'原始数据'!$D$803)</x:f>
        <x:v>4</x:v>
      </x:c>
      <x:c r="D155" s="54" t="n">
        <x:f>AVERAGE('原始数据'!$D$587,'原始数据'!$D$659,'原始数据'!$D$731,'原始数据'!$D$803)</x:f>
        <x:v>0.9383250000000001</x:v>
      </x:c>
      <x:c r="E155" s="54" t="n">
        <x:f>AVERAGE('原始数据'!$E$587,'原始数据'!$E$659,'原始数据'!$E$731,'原始数据'!$E$803)</x:f>
        <x:v>0.08892499999999999</x:v>
      </x:c>
      <x:c r="F155" s="57" t="n">
        <x:f>MIN('原始数据'!$D$587,'原始数据'!$D$659,'原始数据'!$D$731,'原始数据'!$D$803)</x:f>
        <x:v>0.93</x:v>
      </x:c>
      <x:c r="G155" s="57" t="n">
        <x:f>MAX('原始数据'!$E$587,'原始数据'!$E$659,'原始数据'!$E$731,'原始数据'!$E$803)</x:f>
        <x:v>0.1067</x:v>
      </x:c>
      <x:c r="H155" s="60" t="n">
        <x:f>STDEV.P('原始数据'!$D$587,'原始数据'!$D$659,'原始数据'!$D$731,'原始数据'!$D$803)</x:f>
        <x:v>0.006880906553645368</x:v>
      </x:c>
      <x:c r="I155" s="63" t="n">
        <x:f>STDEV.P('原始数据'!$E$587,'原始数据'!$E$659,'原始数据'!$E$731,'原始数据'!$E$803)</x:f>
        <x:v>0.017993106318809994</x:v>
      </x:c>
    </x:row>
    <x:row r="156" ht="20" customHeight="1">
      <x:c r="A156" s="27" t="str">
        <x:v>HCL</x:v>
      </x:c>
      <x:c r="B156" s="30" t="str">
        <x:v>2013-08</x:v>
      </x:c>
      <x:c r="C156" s="51" t="n">
        <x:f>COUNT('原始数据'!$D$588,'原始数据'!$D$660,'原始数据'!$D$732,'原始数据'!$D$804)</x:f>
        <x:v>4</x:v>
      </x:c>
      <x:c r="D156" s="54" t="n">
        <x:f>AVERAGE('原始数据'!$D$588,'原始数据'!$D$660,'原始数据'!$D$732,'原始数据'!$D$804)</x:f>
        <x:v>0.9252499999999999</x:v>
      </x:c>
      <x:c r="E156" s="54" t="n">
        <x:f>AVERAGE('原始数据'!$E$588,'原始数据'!$E$660,'原始数据'!$E$732,'原始数据'!$E$804)</x:f>
        <x:v>0.11675</x:v>
      </x:c>
      <x:c r="F156" s="57" t="n">
        <x:f>MIN('原始数据'!$D$588,'原始数据'!$D$660,'原始数据'!$D$732,'原始数据'!$D$804)</x:f>
        <x:v>0.9123</x:v>
      </x:c>
      <x:c r="G156" s="57" t="n">
        <x:f>MAX('原始数据'!$E$588,'原始数据'!$E$660,'原始数据'!$E$732,'原始数据'!$E$804)</x:f>
        <x:v>0.1405</x:v>
      </x:c>
      <x:c r="H156" s="60" t="n">
        <x:f>STDEV.P('原始数据'!$D$588,'原始数据'!$D$660,'原始数据'!$D$732,'原始数据'!$D$804)</x:f>
        <x:v>0.00837928994605151</x:v>
      </x:c>
      <x:c r="I156" s="63" t="n">
        <x:f>STDEV.P('原始数据'!$E$588,'原始数据'!$E$660,'原始数据'!$E$732,'原始数据'!$E$804)</x:f>
        <x:v>0.018089292412916548</x:v>
      </x:c>
    </x:row>
    <x:row r="157" ht="20" customHeight="1">
      <x:c r="A157" s="27" t="str">
        <x:v>HCL</x:v>
      </x:c>
      <x:c r="B157" s="30" t="str">
        <x:v>2013-09</x:v>
      </x:c>
      <x:c r="C157" s="51" t="n">
        <x:f>COUNT('原始数据'!$D$589,'原始数据'!$D$661,'原始数据'!$D$733,'原始数据'!$D$805)</x:f>
        <x:v>4</x:v>
      </x:c>
      <x:c r="D157" s="54" t="n">
        <x:f>AVERAGE('原始数据'!$D$589,'原始数据'!$D$661,'原始数据'!$D$733,'原始数据'!$D$805)</x:f>
        <x:v>0.8952</x:v>
      </x:c>
      <x:c r="E157" s="54" t="n">
        <x:f>AVERAGE('原始数据'!$E$589,'原始数据'!$E$661,'原始数据'!$E$733,'原始数据'!$E$805)</x:f>
        <x:v>0.1405</x:v>
      </x:c>
      <x:c r="F157" s="57" t="n">
        <x:f>MIN('原始数据'!$D$589,'原始数据'!$D$661,'原始数据'!$D$733,'原始数据'!$D$805)</x:f>
        <x:v>0.8775</x:v>
      </x:c>
      <x:c r="G157" s="57" t="n">
        <x:f>MAX('原始数据'!$E$589,'原始数据'!$E$661,'原始数据'!$E$733,'原始数据'!$E$805)</x:f>
        <x:v>0.176</x:v>
      </x:c>
      <x:c r="H157" s="60" t="n">
        <x:f>STDEV.P('原始数据'!$D$589,'原始数据'!$D$661,'原始数据'!$D$733,'原始数据'!$D$805)</x:f>
        <x:v>0.012381033882515633</x:v>
      </x:c>
      <x:c r="I157" s="63" t="n">
        <x:f>STDEV.P('原始数据'!$E$589,'原始数据'!$E$661,'原始数据'!$E$733,'原始数据'!$E$805)</x:f>
        <x:v>0.021650635094610963</x:v>
      </x:c>
    </x:row>
    <x:row r="158" ht="20" customHeight="1">
      <x:c r="A158" s="27" t="str">
        <x:v>HCL</x:v>
      </x:c>
      <x:c r="B158" s="30" t="str">
        <x:v>2013-10</x:v>
      </x:c>
      <x:c r="C158" s="51" t="n">
        <x:f>COUNT('原始数据'!$D$590,'原始数据'!$D$662,'原始数据'!$D$734,'原始数据'!$D$806)</x:f>
        <x:v>4</x:v>
      </x:c>
      <x:c r="D158" s="54" t="n">
        <x:f>AVERAGE('原始数据'!$D$590,'原始数据'!$D$662,'原始数据'!$D$734,'原始数据'!$D$806)</x:f>
        <x:v>0.888125</x:v>
      </x:c>
      <x:c r="E158" s="54" t="n">
        <x:f>AVERAGE('原始数据'!$E$590,'原始数据'!$E$662,'原始数据'!$E$734,'原始数据'!$E$806)</x:f>
        <x:v>0.14279999999999998</x:v>
      </x:c>
      <x:c r="F158" s="57" t="n">
        <x:f>MIN('原始数据'!$D$590,'原始数据'!$D$662,'原始数据'!$D$734,'原始数据'!$D$806)</x:f>
        <x:v>0.8784</x:v>
      </x:c>
      <x:c r="G158" s="57" t="n">
        <x:f>MAX('原始数据'!$E$590,'原始数据'!$E$662,'原始数据'!$E$734,'原始数据'!$E$806)</x:f>
        <x:v>0.1824</x:v>
      </x:c>
      <x:c r="H158" s="60" t="n">
        <x:f>STDEV.P('原始数据'!$D$590,'原始数据'!$D$662,'原始数据'!$D$734,'原始数据'!$D$806)</x:f>
        <x:v>0.00862999855156421</x:v>
      </x:c>
      <x:c r="I158" s="63" t="n">
        <x:f>STDEV.P('原始数据'!$E$590,'原始数据'!$E$662,'原始数据'!$E$734,'原始数据'!$E$806)</x:f>
        <x:v>0.028368204031979184</x:v>
      </x:c>
    </x:row>
    <x:row r="159" ht="20" customHeight="1">
      <x:c r="A159" s="27" t="str">
        <x:v>HCL</x:v>
      </x:c>
      <x:c r="B159" s="30" t="str">
        <x:v>2013-11</x:v>
      </x:c>
      <x:c r="C159" s="51" t="n">
        <x:f>COUNT('原始数据'!$D$591,'原始数据'!$D$663,'原始数据'!$D$735,'原始数据'!$D$807)</x:f>
        <x:v>4</x:v>
      </x:c>
      <x:c r="D159" s="54" t="n">
        <x:f>AVERAGE('原始数据'!$D$591,'原始数据'!$D$663,'原始数据'!$D$735,'原始数据'!$D$807)</x:f>
        <x:v>0.892825</x:v>
      </x:c>
      <x:c r="E159" s="54" t="n">
        <x:f>AVERAGE('原始数据'!$E$591,'原始数据'!$E$663,'原始数据'!$E$735,'原始数据'!$E$807)</x:f>
        <x:v>0.157575</x:v>
      </x:c>
      <x:c r="F159" s="57" t="n">
        <x:f>MIN('原始数据'!$D$591,'原始数据'!$D$663,'原始数据'!$D$735,'原始数据'!$D$807)</x:f>
        <x:v>0.854</x:v>
      </x:c>
      <x:c r="G159" s="57" t="n">
        <x:f>MAX('原始数据'!$E$591,'原始数据'!$E$663,'原始数据'!$E$735,'原始数据'!$E$807)</x:f>
        <x:v>0.2141</x:v>
      </x:c>
      <x:c r="H159" s="60" t="n">
        <x:f>STDEV.P('原始数据'!$D$591,'原始数据'!$D$663,'原始数据'!$D$735,'原始数据'!$D$807)</x:f>
        <x:v>0.022890759598580383</x:v>
      </x:c>
      <x:c r="I159" s="63" t="n">
        <x:f>STDEV.P('原始数据'!$E$591,'原始数据'!$E$663,'原始数据'!$E$735,'原始数据'!$E$807)</x:f>
        <x:v>0.03522650812953223</x:v>
      </x:c>
    </x:row>
    <x:row r="160" ht="20" customHeight="1">
      <x:c r="A160" s="27" t="str">
        <x:v>HCL</x:v>
      </x:c>
      <x:c r="B160" s="30" t="str">
        <x:v>2013-12</x:v>
      </x:c>
      <x:c r="C160" s="51" t="n">
        <x:f>COUNT('原始数据'!$D$592,'原始数据'!$D$664,'原始数据'!$D$736,'原始数据'!$D$808)</x:f>
        <x:v>4</x:v>
      </x:c>
      <x:c r="D160" s="54" t="n">
        <x:f>AVERAGE('原始数据'!$D$592,'原始数据'!$D$664,'原始数据'!$D$736,'原始数据'!$D$808)</x:f>
        <x:v>0.9019</x:v>
      </x:c>
      <x:c r="E160" s="54" t="n">
        <x:f>AVERAGE('原始数据'!$E$592,'原始数据'!$E$664,'原始数据'!$E$736,'原始数据'!$E$808)</x:f>
        <x:v>0.1533</x:v>
      </x:c>
      <x:c r="F160" s="57" t="n">
        <x:f>MIN('原始数据'!$D$592,'原始数据'!$D$664,'原始数据'!$D$736,'原始数据'!$D$808)</x:f>
        <x:v>0.84</x:v>
      </x:c>
      <x:c r="G160" s="57" t="n">
        <x:f>MAX('原始数据'!$E$592,'原始数据'!$E$664,'原始数据'!$E$736,'原始数据'!$E$808)</x:f>
        <x:v>0.2585</x:v>
      </x:c>
      <x:c r="H160" s="60" t="n">
        <x:f>STDEV.P('原始数据'!$D$592,'原始数据'!$D$664,'原始数据'!$D$736,'原始数据'!$D$808)</x:f>
        <x:v>0.04506633998895407</x:v>
      </x:c>
      <x:c r="I160" s="63" t="n">
        <x:f>STDEV.P('原始数据'!$E$592,'原始数据'!$E$664,'原始数据'!$E$736,'原始数据'!$E$808)</x:f>
        <x:v>0.07669957627001599</x:v>
      </x:c>
    </x:row>
    <x:row r="161" ht="20" customHeight="1">
      <x:c r="A161" s="27" t="str">
        <x:v>HCL</x:v>
      </x:c>
      <x:c r="B161" s="30" t="str">
        <x:v>2014-01</x:v>
      </x:c>
      <x:c r="C161" s="51" t="n">
        <x:f>COUNT('原始数据'!$D$593,'原始数据'!$D$665,'原始数据'!$D$737,'原始数据'!$D$809)</x:f>
        <x:v>4</x:v>
      </x:c>
      <x:c r="D161" s="54" t="n">
        <x:f>AVERAGE('原始数据'!$D$593,'原始数据'!$D$665,'原始数据'!$D$737,'原始数据'!$D$809)</x:f>
        <x:v>0.8624499999999999</x:v>
      </x:c>
      <x:c r="E161" s="54" t="n">
        <x:f>AVERAGE('原始数据'!$E$593,'原始数据'!$E$665,'原始数据'!$E$737,'原始数据'!$E$809)</x:f>
        <x:v>0.19825</x:v>
      </x:c>
      <x:c r="F161" s="57" t="n">
        <x:f>MIN('原始数据'!$D$593,'原始数据'!$D$665,'原始数据'!$D$737,'原始数据'!$D$809)</x:f>
        <x:v>0.8402</x:v>
      </x:c>
      <x:c r="G161" s="57" t="n">
        <x:f>MAX('原始数据'!$E$593,'原始数据'!$E$665,'原始数据'!$E$737,'原始数据'!$E$809)</x:f>
        <x:v>0.2373</x:v>
      </x:c>
      <x:c r="H161" s="60" t="n">
        <x:f>STDEV.P('原始数据'!$D$593,'原始数据'!$D$665,'原始数据'!$D$737,'原始数据'!$D$809)</x:f>
        <x:v>0.018327643056323433</x:v>
      </x:c>
      <x:c r="I161" s="63" t="n">
        <x:f>STDEV.P('原始数据'!$E$593,'原始数据'!$E$665,'原始数据'!$E$737,'原始数据'!$E$809)</x:f>
        <x:v>0.030339454510587366</x:v>
      </x:c>
    </x:row>
    <x:row r="162" ht="20" customHeight="1">
      <x:c r="A162" s="27" t="str">
        <x:v>HCL</x:v>
      </x:c>
      <x:c r="B162" s="30" t="str">
        <x:v>2014-02</x:v>
      </x:c>
      <x:c r="C162" s="51" t="n">
        <x:f>COUNT('原始数据'!$D$594,'原始数据'!$D$666,'原始数据'!$D$738,'原始数据'!$D$810)</x:f>
        <x:v>4</x:v>
      </x:c>
      <x:c r="D162" s="54" t="n">
        <x:f>AVERAGE('原始数据'!$D$594,'原始数据'!$D$666,'原始数据'!$D$738,'原始数据'!$D$810)</x:f>
        <x:v>0.926225</x:v>
      </x:c>
      <x:c r="E162" s="54" t="n">
        <x:f>AVERAGE('原始数据'!$E$594,'原始数据'!$E$666,'原始数据'!$E$738,'原始数据'!$E$810)</x:f>
        <x:v>0.0919</x:v>
      </x:c>
      <x:c r="F162" s="57" t="n">
        <x:f>MIN('原始数据'!$D$594,'原始数据'!$D$666,'原始数据'!$D$738,'原始数据'!$D$810)</x:f>
        <x:v>0.9079</x:v>
      </x:c>
      <x:c r="G162" s="57" t="n">
        <x:f>MAX('原始数据'!$E$594,'原始数据'!$E$666,'原始数据'!$E$738,'原始数据'!$E$810)</x:f>
        <x:v>0.1232</x:v>
      </x:c>
      <x:c r="H162" s="60" t="n">
        <x:f>STDEV.P('原始数据'!$D$594,'原始数据'!$D$666,'原始数据'!$D$738,'原始数据'!$D$810)</x:f>
        <x:v>0.011093551054554153</x:v>
      </x:c>
      <x:c r="I162" s="63" t="n">
        <x:f>STDEV.P('原始数据'!$E$594,'原始数据'!$E$666,'原始数据'!$E$738,'原始数据'!$E$810)</x:f>
        <x:v>0.019027217347788932</x:v>
      </x:c>
    </x:row>
    <x:row r="163" ht="20" customHeight="1">
      <x:c r="A163" s="27" t="str">
        <x:v>HCL</x:v>
      </x:c>
      <x:c r="B163" s="30" t="str">
        <x:v>2014-03</x:v>
      </x:c>
      <x:c r="C163" s="51" t="n">
        <x:f>COUNT('原始数据'!$D$595,'原始数据'!$D$667,'原始数据'!$D$739,'原始数据'!$D$811)</x:f>
        <x:v>4</x:v>
      </x:c>
      <x:c r="D163" s="54" t="n">
        <x:f>AVERAGE('原始数据'!$D$595,'原始数据'!$D$667,'原始数据'!$D$739,'原始数据'!$D$811)</x:f>
        <x:v>0.890375</x:v>
      </x:c>
      <x:c r="E163" s="54" t="n">
        <x:f>AVERAGE('原始数据'!$E$595,'原始数据'!$E$667,'原始数据'!$E$739,'原始数据'!$E$811)</x:f>
        <x:v>0.14675</x:v>
      </x:c>
      <x:c r="F163" s="57" t="n">
        <x:f>MIN('原始数据'!$D$595,'原始数据'!$D$667,'原始数据'!$D$739,'原始数据'!$D$811)</x:f>
        <x:v>0.8627</x:v>
      </x:c>
      <x:c r="G163" s="57" t="n">
        <x:f>MAX('原始数据'!$E$595,'原始数据'!$E$667,'原始数据'!$E$739,'原始数据'!$E$811)</x:f>
        <x:v>0.1923</x:v>
      </x:c>
      <x:c r="H163" s="60" t="n">
        <x:f>STDEV.P('原始数据'!$D$595,'原始数据'!$D$667,'原始数据'!$D$739,'原始数据'!$D$811)</x:f>
        <x:v>0.016770118514786957</x:v>
      </x:c>
      <x:c r="I163" s="63" t="n">
        <x:f>STDEV.P('原始数据'!$E$595,'原始数据'!$E$667,'原始数据'!$E$739,'原始数据'!$E$811)</x:f>
        <x:v>0.03155079238307653</x:v>
      </x:c>
    </x:row>
    <x:row r="164" ht="20" customHeight="1">
      <x:c r="A164" s="27" t="str">
        <x:v>HCL</x:v>
      </x:c>
      <x:c r="B164" s="30" t="str">
        <x:v>2014-04</x:v>
      </x:c>
      <x:c r="C164" s="51" t="n">
        <x:f>COUNT('原始数据'!$D$596,'原始数据'!$D$668,'原始数据'!$D$740,'原始数据'!$D$812)</x:f>
        <x:v>4</x:v>
      </x:c>
      <x:c r="D164" s="54" t="n">
        <x:f>AVERAGE('原始数据'!$D$596,'原始数据'!$D$668,'原始数据'!$D$740,'原始数据'!$D$812)</x:f>
        <x:v>0.870125</x:v>
      </x:c>
      <x:c r="E164" s="54" t="n">
        <x:f>AVERAGE('原始数据'!$E$596,'原始数据'!$E$668,'原始数据'!$E$740,'原始数据'!$E$812)</x:f>
        <x:v>0.17615</x:v>
      </x:c>
      <x:c r="F164" s="57" t="n">
        <x:f>MIN('原始数据'!$D$596,'原始数据'!$D$668,'原始数据'!$D$740,'原始数据'!$D$812)</x:f>
        <x:v>0.82</x:v>
      </x:c>
      <x:c r="G164" s="57" t="n">
        <x:f>MAX('原始数据'!$E$596,'原始数据'!$E$668,'原始数据'!$E$740,'原始数据'!$E$812)</x:f>
        <x:v>0.2341</x:v>
      </x:c>
      <x:c r="H164" s="60" t="n">
        <x:f>STDEV.P('原始数据'!$D$596,'原始数据'!$D$668,'原始数据'!$D$740,'原始数据'!$D$812)</x:f>
        <x:v>0.030819910366514706</x:v>
      </x:c>
      <x:c r="I164" s="63" t="n">
        <x:f>STDEV.P('原始数据'!$E$596,'原始数据'!$E$668,'原始数据'!$E$740,'原始数据'!$E$812)</x:f>
        <x:v>0.0359434625488419</x:v>
      </x:c>
    </x:row>
    <x:row r="165" ht="20" customHeight="1">
      <x:c r="A165" s="27" t="str">
        <x:v>HCL</x:v>
      </x:c>
      <x:c r="B165" s="30" t="str">
        <x:v>2014-05</x:v>
      </x:c>
      <x:c r="C165" s="51" t="n">
        <x:f>COUNT('原始数据'!$D$597,'原始数据'!$D$669,'原始数据'!$D$741,'原始数据'!$D$813)</x:f>
        <x:v>4</x:v>
      </x:c>
      <x:c r="D165" s="54" t="n">
        <x:f>AVERAGE('原始数据'!$D$597,'原始数据'!$D$669,'原始数据'!$D$741,'原始数据'!$D$813)</x:f>
        <x:v>0.8589</x:v>
      </x:c>
      <x:c r="E165" s="54" t="n">
        <x:f>AVERAGE('原始数据'!$E$597,'原始数据'!$E$669,'原始数据'!$E$741,'原始数据'!$E$813)</x:f>
        <x:v>0.20875</x:v>
      </x:c>
      <x:c r="F165" s="57" t="n">
        <x:f>MIN('原始数据'!$D$597,'原始数据'!$D$669,'原始数据'!$D$741,'原始数据'!$D$813)</x:f>
        <x:v>0.7927</x:v>
      </x:c>
      <x:c r="G165" s="57" t="n">
        <x:f>MAX('原始数据'!$E$597,'原始数据'!$E$669,'原始数据'!$E$741,'原始数据'!$E$813)</x:f>
        <x:v>0.2998</x:v>
      </x:c>
      <x:c r="H165" s="60" t="n">
        <x:f>STDEV.P('原始数据'!$D$597,'原始数据'!$D$669,'原始数据'!$D$741,'原始数据'!$D$813)</x:f>
        <x:v>0.0429886031408326</x:v>
      </x:c>
      <x:c r="I165" s="63" t="n">
        <x:f>STDEV.P('原始数据'!$E$597,'原始数据'!$E$669,'原始数据'!$E$741,'原始数据'!$E$813)</x:f>
        <x:v>0.0655572459763221</x:v>
      </x:c>
    </x:row>
    <x:row r="166" ht="20" customHeight="1">
      <x:c r="A166" s="27" t="str">
        <x:v>HCL</x:v>
      </x:c>
      <x:c r="B166" s="30" t="str">
        <x:v>2014-06</x:v>
      </x:c>
      <x:c r="C166" s="51" t="n">
        <x:f>COUNT('原始数据'!$D$598,'原始数据'!$D$670,'原始数据'!$D$742,'原始数据'!$D$814)</x:f>
        <x:v>4</x:v>
      </x:c>
      <x:c r="D166" s="54" t="n">
        <x:f>AVERAGE('原始数据'!$D$598,'原始数据'!$D$670,'原始数据'!$D$742,'原始数据'!$D$814)</x:f>
        <x:v>0.8109250000000001</x:v>
      </x:c>
      <x:c r="E166" s="54" t="n">
        <x:f>AVERAGE('原始数据'!$E$598,'原始数据'!$E$670,'原始数据'!$E$742,'原始数据'!$E$814)</x:f>
        <x:v>0.2761</x:v>
      </x:c>
      <x:c r="F166" s="57" t="n">
        <x:f>MIN('原始数据'!$D$598,'原始数据'!$D$670,'原始数据'!$D$742,'原始数据'!$D$814)</x:f>
        <x:v>0.7122</x:v>
      </x:c>
      <x:c r="G166" s="57" t="n">
        <x:f>MAX('原始数据'!$E$598,'原始数据'!$E$670,'原始数据'!$E$742,'原始数据'!$E$814)</x:f>
        <x:v>0.4036</x:v>
      </x:c>
      <x:c r="H166" s="60" t="n">
        <x:f>STDEV.P('原始数据'!$D$598,'原始数据'!$D$670,'原始数据'!$D$742,'原始数据'!$D$814)</x:f>
        <x:v>0.07448460830936815</x:v>
      </x:c>
      <x:c r="I166" s="63" t="n">
        <x:f>STDEV.P('原始数据'!$E$598,'原始数据'!$E$670,'原始数据'!$E$742,'原始数据'!$E$814)</x:f>
        <x:v>0.10998449890780064</x:v>
      </x:c>
    </x:row>
    <x:row r="167" ht="20" customHeight="1">
      <x:c r="A167" s="27" t="str">
        <x:v>HCL</x:v>
      </x:c>
      <x:c r="B167" s="30" t="str">
        <x:v>2014-07</x:v>
      </x:c>
      <x:c r="C167" s="51" t="n">
        <x:f>COUNT('原始数据'!$D$599,'原始数据'!$D$671,'原始数据'!$D$743,'原始数据'!$D$815)</x:f>
        <x:v>4</x:v>
      </x:c>
      <x:c r="D167" s="54" t="n">
        <x:f>AVERAGE('原始数据'!$D$599,'原始数据'!$D$671,'原始数据'!$D$743,'原始数据'!$D$815)</x:f>
        <x:v>0.8301499999999999</x:v>
      </x:c>
      <x:c r="E167" s="54" t="n">
        <x:f>AVERAGE('原始数据'!$E$599,'原始数据'!$E$671,'原始数据'!$E$743,'原始数据'!$E$815)</x:f>
        <x:v>0.253</x:v>
      </x:c>
      <x:c r="F167" s="57" t="n">
        <x:f>MIN('原始数据'!$D$599,'原始数据'!$D$671,'原始数据'!$D$743,'原始数据'!$D$815)</x:f>
        <x:v>0.7554</x:v>
      </x:c>
      <x:c r="G167" s="57" t="n">
        <x:f>MAX('原始数据'!$E$599,'原始数据'!$E$671,'原始数据'!$E$743,'原始数据'!$E$815)</x:f>
        <x:v>0.3687</x:v>
      </x:c>
      <x:c r="H167" s="60" t="n">
        <x:f>STDEV.P('原始数据'!$D$599,'原始数据'!$D$671,'原始数据'!$D$743,'原始数据'!$D$815)</x:f>
        <x:v>0.07269458370470253</x:v>
      </x:c>
      <x:c r="I167" s="63" t="n">
        <x:f>STDEV.P('原始数据'!$E$599,'原始数据'!$E$671,'原始数据'!$E$743,'原始数据'!$E$815)</x:f>
        <x:v>0.11674418615074587</x:v>
      </x:c>
    </x:row>
    <x:row r="168" ht="20" customHeight="1">
      <x:c r="A168" s="27" t="str">
        <x:v>HCL</x:v>
      </x:c>
      <x:c r="B168" s="30" t="str">
        <x:v>2014-08</x:v>
      </x:c>
      <x:c r="C168" s="51" t="n">
        <x:f>COUNT('原始数据'!$D$600,'原始数据'!$D$672,'原始数据'!$D$744,'原始数据'!$D$816)</x:f>
        <x:v>4</x:v>
      </x:c>
      <x:c r="D168" s="54" t="n">
        <x:f>AVERAGE('原始数据'!$D$600,'原始数据'!$D$672,'原始数据'!$D$744,'原始数据'!$D$816)</x:f>
        <x:v>0.8594</x:v>
      </x:c>
      <x:c r="E168" s="54" t="n">
        <x:f>AVERAGE('原始数据'!$E$600,'原始数据'!$E$672,'原始数据'!$E$744,'原始数据'!$E$816)</x:f>
        <x:v>0.218275</x:v>
      </x:c>
      <x:c r="F168" s="57" t="n">
        <x:f>MIN('原始数据'!$D$600,'原始数据'!$D$672,'原始数据'!$D$744,'原始数据'!$D$816)</x:f>
        <x:v>0.8307</x:v>
      </x:c>
      <x:c r="G168" s="57" t="n">
        <x:f>MAX('原始数据'!$E$600,'原始数据'!$E$672,'原始数据'!$E$744,'原始数据'!$E$816)</x:f>
        <x:v>0.2581</x:v>
      </x:c>
      <x:c r="H168" s="60" t="n">
        <x:f>STDEV.P('原始数据'!$D$600,'原始数据'!$D$672,'原始数据'!$D$744,'原始数据'!$D$816)</x:f>
        <x:v>0.03236858044462255</x:v>
      </x:c>
      <x:c r="I168" s="63" t="n">
        <x:f>STDEV.P('原始数据'!$E$600,'原始数据'!$E$672,'原始数据'!$E$744,'原始数据'!$E$816)</x:f>
        <x:v>0.05025576459472087</x:v>
      </x:c>
    </x:row>
    <x:row r="169" ht="20" customHeight="1">
      <x:c r="A169" s="27" t="str">
        <x:v>HCL</x:v>
      </x:c>
      <x:c r="B169" s="30" t="str">
        <x:v>2014-09</x:v>
      </x:c>
      <x:c r="C169" s="51" t="n">
        <x:f>COUNT('原始数据'!$D$601,'原始数据'!$D$673,'原始数据'!$D$745,'原始数据'!$D$817)</x:f>
        <x:v>4</x:v>
      </x:c>
      <x:c r="D169" s="54" t="n">
        <x:f>AVERAGE('原始数据'!$D$601,'原始数据'!$D$673,'原始数据'!$D$745,'原始数据'!$D$817)</x:f>
        <x:v>0.865075</x:v>
      </x:c>
      <x:c r="E169" s="54" t="n">
        <x:f>AVERAGE('原始数据'!$E$601,'原始数据'!$E$673,'原始数据'!$E$745,'原始数据'!$E$817)</x:f>
        <x:v>0.2079</x:v>
      </x:c>
      <x:c r="F169" s="57" t="n">
        <x:f>MIN('原始数据'!$D$601,'原始数据'!$D$673,'原始数据'!$D$745,'原始数据'!$D$817)</x:f>
        <x:v>0.8148</x:v>
      </x:c>
      <x:c r="G169" s="57" t="n">
        <x:f>MAX('原始数据'!$E$601,'原始数据'!$E$673,'原始数据'!$E$745,'原始数据'!$E$817)</x:f>
        <x:v>0.2701</x:v>
      </x:c>
      <x:c r="H169" s="60" t="n">
        <x:f>STDEV.P('原始数据'!$D$601,'原始数据'!$D$673,'原始数据'!$D$745,'原始数据'!$D$817)</x:f>
        <x:v>0.04888790111060202</x:v>
      </x:c>
      <x:c r="I169" s="63" t="n">
        <x:f>STDEV.P('原始数据'!$E$601,'原始数据'!$E$673,'原始数据'!$E$745,'原始数据'!$E$817)</x:f>
        <x:v>0.07944712077854049</x:v>
      </x:c>
    </x:row>
    <x:row r="170" ht="20" customHeight="1">
      <x:c r="A170" s="27" t="str">
        <x:v>HCL</x:v>
      </x:c>
      <x:c r="B170" s="30" t="str">
        <x:v>2014-10</x:v>
      </x:c>
      <x:c r="C170" s="51" t="n">
        <x:f>COUNT('原始数据'!$D$602,'原始数据'!$D$674,'原始数据'!$D$746,'原始数据'!$D$818)</x:f>
        <x:v>4</x:v>
      </x:c>
      <x:c r="D170" s="54" t="n">
        <x:f>AVERAGE('原始数据'!$D$602,'原始数据'!$D$674,'原始数据'!$D$746,'原始数据'!$D$818)</x:f>
        <x:v>0.84965</x:v>
      </x:c>
      <x:c r="E170" s="54" t="n">
        <x:f>AVERAGE('原始数据'!$E$602,'原始数据'!$E$674,'原始数据'!$E$746,'原始数据'!$E$818)</x:f>
        <x:v>0.228025</x:v>
      </x:c>
      <x:c r="F170" s="57" t="n">
        <x:f>MIN('原始数据'!$D$602,'原始数据'!$D$674,'原始数据'!$D$746,'原始数据'!$D$818)</x:f>
        <x:v>0.791</x:v>
      </x:c>
      <x:c r="G170" s="57" t="n">
        <x:f>MAX('原始数据'!$E$602,'原始数据'!$E$674,'原始数据'!$E$746,'原始数据'!$E$818)</x:f>
        <x:v>0.319</x:v>
      </x:c>
      <x:c r="H170" s="60" t="n">
        <x:f>STDEV.P('原始数据'!$D$602,'原始数据'!$D$674,'原始数据'!$D$746,'原始数据'!$D$818)</x:f>
        <x:v>0.0593237937087641</x:v>
      </x:c>
      <x:c r="I170" s="63" t="n">
        <x:f>STDEV.P('原始数据'!$E$602,'原始数据'!$E$674,'原始数据'!$E$746,'原始数据'!$E$818)</x:f>
        <x:v>0.09854771369747753</x:v>
      </x:c>
    </x:row>
    <x:row r="171" ht="20" customHeight="1">
      <x:c r="A171" s="27" t="str">
        <x:v>HCL</x:v>
      </x:c>
      <x:c r="B171" s="30" t="str">
        <x:v>2014-11</x:v>
      </x:c>
      <x:c r="C171" s="51" t="n">
        <x:f>COUNT('原始数据'!$D$603,'原始数据'!$D$675,'原始数据'!$D$747,'原始数据'!$D$819)</x:f>
        <x:v>4</x:v>
      </x:c>
      <x:c r="D171" s="54" t="n">
        <x:f>AVERAGE('原始数据'!$D$603,'原始数据'!$D$675,'原始数据'!$D$747,'原始数据'!$D$819)</x:f>
        <x:v>0.919625</x:v>
      </x:c>
      <x:c r="E171" s="54" t="n">
        <x:f>AVERAGE('原始数据'!$E$603,'原始数据'!$E$675,'原始数据'!$E$747,'原始数据'!$E$819)</x:f>
        <x:v>0.11055000000000001</x:v>
      </x:c>
      <x:c r="F171" s="57" t="n">
        <x:f>MIN('原始数据'!$D$603,'原始数据'!$D$675,'原始数据'!$D$747,'原始数据'!$D$819)</x:f>
        <x:v>0.8772</x:v>
      </x:c>
      <x:c r="G171" s="57" t="n">
        <x:f>MAX('原始数据'!$E$603,'原始数据'!$E$675,'原始数据'!$E$747,'原始数据'!$E$819)</x:f>
        <x:v>0.1744</x:v>
      </x:c>
      <x:c r="H171" s="60" t="n">
        <x:f>STDEV.P('原始数据'!$D$603,'原始数据'!$D$675,'原始数据'!$D$747,'原始数据'!$D$819)</x:f>
        <x:v>0.02971846017208833</x:v>
      </x:c>
      <x:c r="I171" s="63" t="n">
        <x:f>STDEV.P('原始数据'!$E$603,'原始数据'!$E$675,'原始数据'!$E$747,'原始数据'!$E$819)</x:f>
        <x:v>0.04876809920429542</x:v>
      </x:c>
    </x:row>
    <x:row r="172" ht="20" customHeight="1">
      <x:c r="A172" s="27" t="str">
        <x:v>HCL</x:v>
      </x:c>
      <x:c r="B172" s="30" t="str">
        <x:v>2014-12</x:v>
      </x:c>
      <x:c r="C172" s="51" t="n">
        <x:f>COUNT('原始数据'!$D$604,'原始数据'!$D$676,'原始数据'!$D$748,'原始数据'!$D$820)</x:f>
        <x:v>4</x:v>
      </x:c>
      <x:c r="D172" s="54" t="n">
        <x:f>AVERAGE('原始数据'!$D$604,'原始数据'!$D$676,'原始数据'!$D$748,'原始数据'!$D$820)</x:f>
        <x:v>0.88245</x:v>
      </x:c>
      <x:c r="E172" s="54" t="n">
        <x:f>AVERAGE('原始数据'!$E$604,'原始数据'!$E$676,'原始数据'!$E$748,'原始数据'!$E$820)</x:f>
        <x:v>0.181025</x:v>
      </x:c>
      <x:c r="F172" s="57" t="n">
        <x:f>MIN('原始数据'!$D$604,'原始数据'!$D$676,'原始数据'!$D$748,'原始数据'!$D$820)</x:f>
        <x:v>0.8462</x:v>
      </x:c>
      <x:c r="G172" s="57" t="n">
        <x:f>MAX('原始数据'!$E$604,'原始数据'!$E$676,'原始数据'!$E$748,'原始数据'!$E$820)</x:f>
        <x:v>0.2353</x:v>
      </x:c>
      <x:c r="H172" s="60" t="n">
        <x:f>STDEV.P('原始数据'!$D$604,'原始数据'!$D$676,'原始数据'!$D$748,'原始数据'!$D$820)</x:f>
        <x:v>0.03290885139290036</x:v>
      </x:c>
      <x:c r="I172" s="63" t="n">
        <x:f>STDEV.P('原始数据'!$E$604,'原始数据'!$E$676,'原始数据'!$E$748,'原始数据'!$E$820)</x:f>
        <x:v>0.057210636030374636</x:v>
      </x:c>
    </x:row>
    <x:row r="173" ht="20" customHeight="1">
      <x:c r="A173" s="27" t="str">
        <x:v>HCL</x:v>
      </x:c>
      <x:c r="B173" s="30" t="str">
        <x:v>2015-01</x:v>
      </x:c>
      <x:c r="C173" s="51" t="n">
        <x:f>COUNT('原始数据'!$D$605,'原始数据'!$D$677,'原始数据'!$D$749,'原始数据'!$D$821)</x:f>
        <x:v>4</x:v>
      </x:c>
      <x:c r="D173" s="54" t="n">
        <x:f>AVERAGE('原始数据'!$D$605,'原始数据'!$D$677,'原始数据'!$D$749,'原始数据'!$D$821)</x:f>
        <x:v>0.882575</x:v>
      </x:c>
      <x:c r="E173" s="54" t="n">
        <x:f>AVERAGE('原始数据'!$E$605,'原始数据'!$E$677,'原始数据'!$E$749,'原始数据'!$E$821)</x:f>
        <x:v>0.193525</x:v>
      </x:c>
      <x:c r="F173" s="57" t="n">
        <x:f>MIN('原始数据'!$D$605,'原始数据'!$D$677,'原始数据'!$D$749,'原始数据'!$D$821)</x:f>
        <x:v>0.8578</x:v>
      </x:c>
      <x:c r="G173" s="57" t="n">
        <x:f>MAX('原始数据'!$E$605,'原始数据'!$E$677,'原始数据'!$E$749,'原始数据'!$E$821)</x:f>
        <x:v>0.2364</x:v>
      </x:c>
      <x:c r="H173" s="60" t="n">
        <x:f>STDEV.P('原始数据'!$D$605,'原始数据'!$D$677,'原始数据'!$D$749,'原始数据'!$D$821)</x:f>
        <x:v>0.016093535192741208</x:v>
      </x:c>
      <x:c r="I173" s="63" t="n">
        <x:f>STDEV.P('原始数据'!$E$605,'原始数据'!$E$677,'原始数据'!$E$749,'原始数据'!$E$821)</x:f>
        <x:v>0.0304165559358715</x:v>
      </x:c>
    </x:row>
    <x:row r="174" ht="20" customHeight="1">
      <x:c r="A174" s="27" t="str">
        <x:v>HCL</x:v>
      </x:c>
      <x:c r="B174" s="30" t="str">
        <x:v>2015-02</x:v>
      </x:c>
      <x:c r="C174" s="51" t="n">
        <x:f>COUNT('原始数据'!$D$606,'原始数据'!$D$678,'原始数据'!$D$750,'原始数据'!$D$822)</x:f>
        <x:v>4</x:v>
      </x:c>
      <x:c r="D174" s="54" t="n">
        <x:f>AVERAGE('原始数据'!$D$606,'原始数据'!$D$678,'原始数据'!$D$750,'原始数据'!$D$822)</x:f>
        <x:v>0.9316249999999999</x:v>
      </x:c>
      <x:c r="E174" s="54" t="n">
        <x:f>AVERAGE('原始数据'!$E$606,'原始数据'!$E$678,'原始数据'!$E$750,'原始数据'!$E$822)</x:f>
        <x:v>0.10062499999999999</x:v>
      </x:c>
      <x:c r="F174" s="57" t="n">
        <x:f>MIN('原始数据'!$D$606,'原始数据'!$D$678,'原始数据'!$D$750,'原始数据'!$D$822)</x:f>
        <x:v>0.9204</x:v>
      </x:c>
      <x:c r="G174" s="57" t="n">
        <x:f>MAX('原始数据'!$E$606,'原始数据'!$E$678,'原始数据'!$E$750,'原始数据'!$E$822)</x:f>
        <x:v>0.1245</x:v>
      </x:c>
      <x:c r="H174" s="60" t="n">
        <x:f>STDEV.P('原始数据'!$D$606,'原始数据'!$D$678,'原始数据'!$D$750,'原始数据'!$D$822)</x:f>
        <x:v>0.00954394441517762</x:v>
      </x:c>
      <x:c r="I174" s="63" t="n">
        <x:f>STDEV.P('原始数据'!$E$606,'原始数据'!$E$678,'原始数据'!$E$750,'原始数据'!$E$822)</x:f>
        <x:v>0.02218798943122157</x:v>
      </x:c>
    </x:row>
    <x:row r="175" ht="20" customHeight="1">
      <x:c r="A175" s="27" t="str">
        <x:v>HCL</x:v>
      </x:c>
      <x:c r="B175" s="30" t="str">
        <x:v>2015-03</x:v>
      </x:c>
      <x:c r="C175" s="51" t="n">
        <x:f>COUNT('原始数据'!$D$607,'原始数据'!$D$679,'原始数据'!$D$751,'原始数据'!$D$823)</x:f>
        <x:v>4</x:v>
      </x:c>
      <x:c r="D175" s="54" t="n">
        <x:f>AVERAGE('原始数据'!$D$607,'原始数据'!$D$679,'原始数据'!$D$751,'原始数据'!$D$823)</x:f>
        <x:v>0.920075</x:v>
      </x:c>
      <x:c r="E175" s="54" t="n">
        <x:f>AVERAGE('原始数据'!$E$607,'原始数据'!$E$679,'原始数据'!$E$751,'原始数据'!$E$823)</x:f>
        <x:v>0.129525</x:v>
      </x:c>
      <x:c r="F175" s="57" t="n">
        <x:f>MIN('原始数据'!$D$607,'原始数据'!$D$679,'原始数据'!$D$751,'原始数据'!$D$823)</x:f>
        <x:v>0.8976</x:v>
      </x:c>
      <x:c r="G175" s="57" t="n">
        <x:f>MAX('原始数据'!$E$607,'原始数据'!$E$679,'原始数据'!$E$751,'原始数据'!$E$823)</x:f>
        <x:v>0.172</x:v>
      </x:c>
      <x:c r="H175" s="60" t="n">
        <x:f>STDEV.P('原始数据'!$D$607,'原始数据'!$D$679,'原始数据'!$D$751,'原始数据'!$D$823)</x:f>
        <x:v>0.020988732096055757</x:v>
      </x:c>
      <x:c r="I175" s="63" t="n">
        <x:f>STDEV.P('原始数据'!$E$607,'原始数据'!$E$679,'原始数据'!$E$751,'原始数据'!$E$823)</x:f>
        <x:v>0.040205246859085435</x:v>
      </x:c>
    </x:row>
    <x:row r="176" ht="20" customHeight="1">
      <x:c r="A176" s="27" t="str">
        <x:v>HCL</x:v>
      </x:c>
      <x:c r="B176" s="30" t="str">
        <x:v>2015-04</x:v>
      </x:c>
      <x:c r="C176" s="51" t="n">
        <x:f>COUNT('原始数据'!$D$608,'原始数据'!$D$680,'原始数据'!$D$752,'原始数据'!$D$824)</x:f>
        <x:v>4</x:v>
      </x:c>
      <x:c r="D176" s="54" t="n">
        <x:f>AVERAGE('原始数据'!$D$608,'原始数据'!$D$680,'原始数据'!$D$752,'原始数据'!$D$824)</x:f>
        <x:v>0.9371499999999999</x:v>
      </x:c>
      <x:c r="E176" s="54" t="n">
        <x:f>AVERAGE('原始数据'!$E$608,'原始数据'!$E$680,'原始数据'!$E$752,'原始数据'!$E$824)</x:f>
        <x:v>0.09957500000000001</x:v>
      </x:c>
      <x:c r="F176" s="57" t="n">
        <x:f>MIN('原始数据'!$D$608,'原始数据'!$D$680,'原始数据'!$D$752,'原始数据'!$D$824)</x:f>
        <x:v>0.9219</x:v>
      </x:c>
      <x:c r="G176" s="57" t="n">
        <x:f>MAX('原始数据'!$E$608,'原始数据'!$E$680,'原始数据'!$E$752,'原始数据'!$E$824)</x:f>
        <x:v>0.1285</x:v>
      </x:c>
      <x:c r="H176" s="60" t="n">
        <x:f>STDEV.P('原始数据'!$D$608,'原始数据'!$D$680,'原始数据'!$D$752,'原始数据'!$D$824)</x:f>
        <x:v>0.012105886997655288</x:v>
      </x:c>
      <x:c r="I176" s="63" t="n">
        <x:f>STDEV.P('原始数据'!$E$608,'原始数据'!$E$680,'原始数据'!$E$752,'原始数据'!$E$824)</x:f>
        <x:v>0.023079143723284016</x:v>
      </x:c>
    </x:row>
    <x:row r="177" ht="20" customHeight="1">
      <x:c r="A177" s="27" t="str">
        <x:v>HCL</x:v>
      </x:c>
      <x:c r="B177" s="30" t="str">
        <x:v>2015-05</x:v>
      </x:c>
      <x:c r="C177" s="51" t="n">
        <x:f>COUNT('原始数据'!$D$609,'原始数据'!$D$681,'原始数据'!$D$753,'原始数据'!$D$825)</x:f>
        <x:v>4</x:v>
      </x:c>
      <x:c r="D177" s="54" t="n">
        <x:f>AVERAGE('原始数据'!$D$609,'原始数据'!$D$681,'原始数据'!$D$753,'原始数据'!$D$825)</x:f>
        <x:v>0.9277249999999999</x:v>
      </x:c>
      <x:c r="E177" s="54" t="n">
        <x:f>AVERAGE('原始数据'!$E$609,'原始数据'!$E$681,'原始数据'!$E$753,'原始数据'!$E$825)</x:f>
        <x:v>0.11712499999999999</x:v>
      </x:c>
      <x:c r="F177" s="57" t="n">
        <x:f>MIN('原始数据'!$D$609,'原始数据'!$D$681,'原始数据'!$D$753,'原始数据'!$D$825)</x:f>
        <x:v>0.9176</x:v>
      </x:c>
      <x:c r="G177" s="57" t="n">
        <x:f>MAX('原始数据'!$E$609,'原始数据'!$E$681,'原始数据'!$E$753,'原始数据'!$E$825)</x:f>
        <x:v>0.1351</x:v>
      </x:c>
      <x:c r="H177" s="60" t="n">
        <x:f>STDEV.P('原始数据'!$D$609,'原始数据'!$D$681,'原始数据'!$D$753,'原始数据'!$D$825)</x:f>
        <x:v>0.009562001620999655</x:v>
      </x:c>
      <x:c r="I177" s="63" t="n">
        <x:f>STDEV.P('原始数据'!$E$609,'原始数据'!$E$681,'原始数据'!$E$753,'原始数据'!$E$825)</x:f>
        <x:v>0.017215744973715193</x:v>
      </x:c>
    </x:row>
    <x:row r="178" ht="20" customHeight="1">
      <x:c r="A178" s="27" t="str">
        <x:v>HCL</x:v>
      </x:c>
      <x:c r="B178" s="30" t="str">
        <x:v>2015-06</x:v>
      </x:c>
      <x:c r="C178" s="51" t="n">
        <x:f>COUNT('原始数据'!$D$610,'原始数据'!$D$682,'原始数据'!$D$754,'原始数据'!$D$826)</x:f>
        <x:v>4</x:v>
      </x:c>
      <x:c r="D178" s="54" t="n">
        <x:f>AVERAGE('原始数据'!$D$610,'原始数据'!$D$682,'原始数据'!$D$754,'原始数据'!$D$826)</x:f>
        <x:v>0.8953249999999999</x:v>
      </x:c>
      <x:c r="E178" s="54" t="n">
        <x:f>AVERAGE('原始数据'!$E$610,'原始数据'!$E$682,'原始数据'!$E$754,'原始数据'!$E$826)</x:f>
        <x:v>0.1696</x:v>
      </x:c>
      <x:c r="F178" s="57" t="n">
        <x:f>MIN('原始数据'!$D$610,'原始数据'!$D$682,'原始数据'!$D$754,'原始数据'!$D$826)</x:f>
        <x:v>0.8688</x:v>
      </x:c>
      <x:c r="G178" s="57" t="n">
        <x:f>MAX('原始数据'!$E$610,'原始数据'!$E$682,'原始数据'!$E$754,'原始数据'!$E$826)</x:f>
        <x:v>0.2101</x:v>
      </x:c>
      <x:c r="H178" s="60" t="n">
        <x:f>STDEV.P('原始数据'!$D$610,'原始数据'!$D$682,'原始数据'!$D$754,'原始数据'!$D$826)</x:f>
        <x:v>0.024948885245637726</x:v>
      </x:c>
      <x:c r="I178" s="63" t="n">
        <x:f>STDEV.P('原始数据'!$E$610,'原始数据'!$E$682,'原始数据'!$E$754,'原始数据'!$E$826)</x:f>
        <x:v>0.04031085461758409</x:v>
      </x:c>
    </x:row>
    <x:row r="179" ht="20" customHeight="1">
      <x:c r="A179" s="27" t="str">
        <x:v>HCL</x:v>
      </x:c>
      <x:c r="B179" s="30" t="str">
        <x:v>2015-07</x:v>
      </x:c>
      <x:c r="C179" s="51" t="n">
        <x:f>COUNT('原始数据'!$D$611,'原始数据'!$D$683,'原始数据'!$D$755,'原始数据'!$D$827)</x:f>
        <x:v>4</x:v>
      </x:c>
      <x:c r="D179" s="54" t="n">
        <x:f>AVERAGE('原始数据'!$D$611,'原始数据'!$D$683,'原始数据'!$D$755,'原始数据'!$D$827)</x:f>
        <x:v>0.9062000000000001</x:v>
      </x:c>
      <x:c r="E179" s="54" t="n">
        <x:f>AVERAGE('原始数据'!$E$611,'原始数据'!$E$683,'原始数据'!$E$755,'原始数据'!$E$827)</x:f>
        <x:v>0.148325</x:v>
      </x:c>
      <x:c r="F179" s="57" t="n">
        <x:f>MIN('原始数据'!$D$611,'原始数据'!$D$683,'原始数据'!$D$755,'原始数据'!$D$827)</x:f>
        <x:v>0.8631</x:v>
      </x:c>
      <x:c r="G179" s="57" t="n">
        <x:f>MAX('原始数据'!$E$611,'原始数据'!$E$683,'原始数据'!$E$755,'原始数据'!$E$827)</x:f>
        <x:v>0.2138</x:v>
      </x:c>
      <x:c r="H179" s="60" t="n">
        <x:f>STDEV.P('原始数据'!$D$611,'原始数据'!$D$683,'原始数据'!$D$755,'原始数据'!$D$827)</x:f>
        <x:v>0.03264529062514225</x:v>
      </x:c>
      <x:c r="I179" s="63" t="n">
        <x:f>STDEV.P('原始数据'!$E$611,'原始数据'!$E$683,'原始数据'!$E$755,'原始数据'!$E$827)</x:f>
        <x:v>0.05349800814049061</x:v>
      </x:c>
    </x:row>
    <x:row r="180" ht="20" customHeight="1">
      <x:c r="A180" s="27" t="str">
        <x:v>HCL</x:v>
      </x:c>
      <x:c r="B180" s="30" t="str">
        <x:v>2015-08</x:v>
      </x:c>
      <x:c r="C180" s="51" t="n">
        <x:f>COUNT('原始数据'!$D$612,'原始数据'!$D$684,'原始数据'!$D$756,'原始数据'!$D$828)</x:f>
        <x:v>4</x:v>
      </x:c>
      <x:c r="D180" s="54" t="n">
        <x:f>AVERAGE('原始数据'!$D$612,'原始数据'!$D$684,'原始数据'!$D$756,'原始数据'!$D$828)</x:f>
        <x:v>0.93005</x:v>
      </x:c>
      <x:c r="E180" s="54" t="n">
        <x:f>AVERAGE('原始数据'!$E$612,'原始数据'!$E$684,'原始数据'!$E$756,'原始数据'!$E$828)</x:f>
        <x:v>0.11112500000000002</x:v>
      </x:c>
      <x:c r="F180" s="57" t="n">
        <x:f>MIN('原始数据'!$D$612,'原始数据'!$D$684,'原始数据'!$D$756,'原始数据'!$D$828)</x:f>
        <x:v>0.9119</x:v>
      </x:c>
      <x:c r="G180" s="57" t="n">
        <x:f>MAX('原始数据'!$E$612,'原始数据'!$E$684,'原始数据'!$E$756,'原始数据'!$E$828)</x:f>
        <x:v>0.1438</x:v>
      </x:c>
      <x:c r="H180" s="60" t="n">
        <x:f>STDEV.P('原始数据'!$D$612,'原始数据'!$D$684,'原始数据'!$D$756,'原始数据'!$D$828)</x:f>
        <x:v>0.016186800177922733</x:v>
      </x:c>
      <x:c r="I180" s="63" t="n">
        <x:f>STDEV.P('原始数据'!$E$612,'原始数据'!$E$684,'原始数据'!$E$756,'原始数据'!$E$828)</x:f>
        <x:v>0.030317187781850746</x:v>
      </x:c>
    </x:row>
    <x:row r="181" ht="20" customHeight="1">
      <x:c r="A181" s="27" t="str">
        <x:v>HCL</x:v>
      </x:c>
      <x:c r="B181" s="30" t="str">
        <x:v>2015-09</x:v>
      </x:c>
      <x:c r="C181" s="51" t="n">
        <x:f>COUNT('原始数据'!$D$613,'原始数据'!$D$685,'原始数据'!$D$757,'原始数据'!$D$829)</x:f>
        <x:v>4</x:v>
      </x:c>
      <x:c r="D181" s="54" t="n">
        <x:f>AVERAGE('原始数据'!$D$613,'原始数据'!$D$685,'原始数据'!$D$757,'原始数据'!$D$829)</x:f>
        <x:v>0.8513999999999999</x:v>
      </x:c>
      <x:c r="E181" s="54" t="n">
        <x:f>AVERAGE('原始数据'!$E$613,'原始数据'!$E$685,'原始数据'!$E$757,'原始数据'!$E$829)</x:f>
        <x:v>0.23032500000000003</x:v>
      </x:c>
      <x:c r="F181" s="57" t="n">
        <x:f>MIN('原始数据'!$D$613,'原始数据'!$D$685,'原始数据'!$D$757,'原始数据'!$D$829)</x:f>
        <x:v>0.7971</x:v>
      </x:c>
      <x:c r="G181" s="57" t="n">
        <x:f>MAX('原始数据'!$E$613,'原始数据'!$E$685,'原始数据'!$E$757,'原始数据'!$E$829)</x:f>
        <x:v>0.3154</x:v>
      </x:c>
      <x:c r="H181" s="60" t="n">
        <x:f>STDEV.P('原始数据'!$D$613,'原始数据'!$D$685,'原始数据'!$D$757,'原始数据'!$D$829)</x:f>
        <x:v>0.06038977562468666</x:v>
      </x:c>
      <x:c r="I181" s="63" t="n">
        <x:f>STDEV.P('原始数据'!$E$613,'原始数据'!$E$685,'原始数据'!$E$757,'原始数据'!$E$829)</x:f>
        <x:v>0.09738886935887489</x:v>
      </x:c>
    </x:row>
    <x:row r="182" ht="20" customHeight="1">
      <x:c r="A182" s="27" t="str">
        <x:v>HCL</x:v>
      </x:c>
      <x:c r="B182" s="30" t="str">
        <x:v>2015-10</x:v>
      </x:c>
      <x:c r="C182" s="51" t="n">
        <x:f>COUNT('原始数据'!$D$614,'原始数据'!$D$686,'原始数据'!$D$758,'原始数据'!$D$830)</x:f>
        <x:v>4</x:v>
      </x:c>
      <x:c r="D182" s="54" t="n">
        <x:f>AVERAGE('原始数据'!$D$614,'原始数据'!$D$686,'原始数据'!$D$758,'原始数据'!$D$830)</x:f>
        <x:v>0.7893</x:v>
      </x:c>
      <x:c r="E182" s="54" t="n">
        <x:f>AVERAGE('原始数据'!$E$614,'原始数据'!$E$686,'原始数据'!$E$758,'原始数据'!$E$830)</x:f>
        <x:v>0.32735</x:v>
      </x:c>
      <x:c r="F182" s="57" t="n">
        <x:f>MIN('原始数据'!$D$614,'原始数据'!$D$686,'原始数据'!$D$758,'原始数据'!$D$830)</x:f>
        <x:v>0.7315</x:v>
      </x:c>
      <x:c r="G182" s="57" t="n">
        <x:f>MAX('原始数据'!$E$614,'原始数据'!$E$686,'原始数据'!$E$758,'原始数据'!$E$830)</x:f>
        <x:v>0.4063</x:v>
      </x:c>
      <x:c r="H182" s="60" t="n">
        <x:f>STDEV.P('原始数据'!$D$614,'原始数据'!$D$686,'原始数据'!$D$758,'原始数据'!$D$830)</x:f>
        <x:v>0.0428546380220391</x:v>
      </x:c>
      <x:c r="I182" s="63" t="n">
        <x:f>STDEV.P('原始数据'!$E$614,'原始数据'!$E$686,'原始数据'!$E$758,'原始数据'!$E$830)</x:f>
        <x:v>0.060448097571387645</x:v>
      </x:c>
    </x:row>
    <x:row r="183" ht="20" customHeight="1">
      <x:c r="A183" s="27" t="str">
        <x:v>HCL</x:v>
      </x:c>
      <x:c r="B183" s="30" t="str">
        <x:v>2015-11</x:v>
      </x:c>
      <x:c r="C183" s="51" t="n">
        <x:f>COUNT('原始数据'!$D$615,'原始数据'!$D$687,'原始数据'!$D$759,'原始数据'!$D$831)</x:f>
        <x:v>4</x:v>
      </x:c>
      <x:c r="D183" s="54" t="n">
        <x:f>AVERAGE('原始数据'!$D$615,'原始数据'!$D$687,'原始数据'!$D$759,'原始数据'!$D$831)</x:f>
        <x:v>0.8663</x:v>
      </x:c>
      <x:c r="E183" s="54" t="n">
        <x:f>AVERAGE('原始数据'!$E$615,'原始数据'!$E$687,'原始数据'!$E$759,'原始数据'!$E$831)</x:f>
        <x:v>0.216675</x:v>
      </x:c>
      <x:c r="F183" s="57" t="n">
        <x:f>MIN('原始数据'!$D$615,'原始数据'!$D$687,'原始数据'!$D$759,'原始数据'!$D$831)</x:f>
        <x:v>0.8439</x:v>
      </x:c>
      <x:c r="G183" s="57" t="n">
        <x:f>MAX('原始数据'!$E$615,'原始数据'!$E$687,'原始数据'!$E$759,'原始数据'!$E$831)</x:f>
        <x:v>0.252</x:v>
      </x:c>
      <x:c r="H183" s="60" t="n">
        <x:f>STDEV.P('原始数据'!$D$615,'原始数据'!$D$687,'原始数据'!$D$759,'原始数据'!$D$831)</x:f>
        <x:v>0.01710277755219892</x:v>
      </x:c>
      <x:c r="I183" s="63" t="n">
        <x:f>STDEV.P('原始数据'!$E$615,'原始数据'!$E$687,'原始数据'!$E$759,'原始数据'!$E$831)</x:f>
        <x:v>0.025355213960840485</x:v>
      </x:c>
    </x:row>
    <x:row r="184" ht="20" customHeight="1">
      <x:c r="A184" s="27" t="str">
        <x:v>HCL</x:v>
      </x:c>
      <x:c r="B184" s="30" t="str">
        <x:v>2015-12</x:v>
      </x:c>
      <x:c r="C184" s="51" t="n">
        <x:f>COUNT('原始数据'!$D$616,'原始数据'!$D$688,'原始数据'!$D$760,'原始数据'!$D$832)</x:f>
        <x:v>4</x:v>
      </x:c>
      <x:c r="D184" s="54" t="n">
        <x:f>AVERAGE('原始数据'!$D$616,'原始数据'!$D$688,'原始数据'!$D$760,'原始数据'!$D$832)</x:f>
        <x:v>0.9272</x:v>
      </x:c>
      <x:c r="E184" s="54" t="n">
        <x:f>AVERAGE('原始数据'!$E$616,'原始数据'!$E$688,'原始数据'!$E$760,'原始数据'!$E$832)</x:f>
        <x:v>0.113825</x:v>
      </x:c>
      <x:c r="F184" s="57" t="n">
        <x:f>MIN('原始数据'!$D$616,'原始数据'!$D$688,'原始数据'!$D$760,'原始数据'!$D$832)</x:f>
        <x:v>0.9117</x:v>
      </x:c>
      <x:c r="G184" s="57" t="n">
        <x:f>MAX('原始数据'!$E$616,'原始数据'!$E$688,'原始数据'!$E$760,'原始数据'!$E$832)</x:f>
        <x:v>0.1414</x:v>
      </x:c>
      <x:c r="H184" s="60" t="n">
        <x:f>STDEV.P('原始数据'!$D$616,'原始数据'!$D$688,'原始数据'!$D$760,'原始数据'!$D$832)</x:f>
        <x:v>0.020745481435724782</x:v>
      </x:c>
      <x:c r="I184" s="63" t="n">
        <x:f>STDEV.P('原始数据'!$E$616,'原始数据'!$E$688,'原始数据'!$E$760,'原始数据'!$E$832)</x:f>
        <x:v>0.03872443511531188</x:v>
      </x:c>
    </x:row>
    <x:row r="185" ht="20" customHeight="1">
      <x:c r="A185" s="27" t="str">
        <x:v>HCL</x:v>
      </x:c>
      <x:c r="B185" s="30" t="str">
        <x:v>2016-01</x:v>
      </x:c>
      <x:c r="C185" s="51" t="n">
        <x:f>COUNT('原始数据'!$D$617,'原始数据'!$D$689,'原始数据'!$D$761,'原始数据'!$D$833)</x:f>
        <x:v>4</x:v>
      </x:c>
      <x:c r="D185" s="54" t="n">
        <x:f>AVERAGE('原始数据'!$D$617,'原始数据'!$D$689,'原始数据'!$D$761,'原始数据'!$D$833)</x:f>
        <x:v>0.8987999999999999</x:v>
      </x:c>
      <x:c r="E185" s="54" t="n">
        <x:f>AVERAGE('原始数据'!$E$617,'原始数据'!$E$689,'原始数据'!$E$761,'原始数据'!$E$833)</x:f>
        <x:v>0.166275</x:v>
      </x:c>
      <x:c r="F185" s="57" t="n">
        <x:f>MIN('原始数据'!$D$617,'原始数据'!$D$689,'原始数据'!$D$761,'原始数据'!$D$833)</x:f>
        <x:v>0.8279</x:v>
      </x:c>
      <x:c r="G185" s="57" t="n">
        <x:f>MAX('原始数据'!$E$617,'原始数据'!$E$689,'原始数据'!$E$761,'原始数据'!$E$833)</x:f>
        <x:v>0.2775</x:v>
      </x:c>
      <x:c r="H185" s="60" t="n">
        <x:f>STDEV.P('原始数据'!$D$617,'原始数据'!$D$689,'原始数据'!$D$761,'原始数据'!$D$833)</x:f>
        <x:v>0.04242139790247371</x:v>
      </x:c>
      <x:c r="I185" s="63" t="n">
        <x:f>STDEV.P('原始数据'!$E$617,'原始数据'!$E$689,'原始数据'!$E$761,'原始数据'!$E$833)</x:f>
        <x:v>0.06820316616550877</x:v>
      </x:c>
    </x:row>
    <x:row r="186" ht="20" customHeight="1">
      <x:c r="A186" s="27" t="str">
        <x:v>HCL</x:v>
      </x:c>
      <x:c r="B186" s="30" t="str">
        <x:v>2016-02</x:v>
      </x:c>
      <x:c r="C186" s="51" t="n">
        <x:f>COUNT('原始数据'!$D$618,'原始数据'!$D$690,'原始数据'!$D$762,'原始数据'!$D$834)</x:f>
        <x:v>4</x:v>
      </x:c>
      <x:c r="D186" s="54" t="n">
        <x:f>AVERAGE('原始数据'!$D$618,'原始数据'!$D$690,'原始数据'!$D$762,'原始数据'!$D$834)</x:f>
        <x:v>0.9432</x:v>
      </x:c>
      <x:c r="E186" s="54" t="n">
        <x:f>AVERAGE('原始数据'!$E$618,'原始数据'!$E$690,'原始数据'!$E$762,'原始数据'!$E$834)</x:f>
        <x:v>0.08065</x:v>
      </x:c>
      <x:c r="F186" s="57" t="n">
        <x:f>MIN('原始数据'!$D$618,'原始数据'!$D$690,'原始数据'!$D$762,'原始数据'!$D$834)</x:f>
        <x:v>0.934</x:v>
      </x:c>
      <x:c r="G186" s="57" t="n">
        <x:f>MAX('原始数据'!$E$618,'原始数据'!$E$690,'原始数据'!$E$762,'原始数据'!$E$834)</x:f>
        <x:v>0.1037</x:v>
      </x:c>
      <x:c r="H186" s="60" t="n">
        <x:f>STDEV.P('原始数据'!$D$618,'原始数据'!$D$690,'原始数据'!$D$762,'原始数据'!$D$834)</x:f>
        <x:v>0.006288481533724966</x:v>
      </x:c>
      <x:c r="I186" s="63" t="n">
        <x:f>STDEV.P('原始数据'!$E$618,'原始数据'!$E$690,'原始数据'!$E$762,'原始数据'!$E$834)</x:f>
        <x:v>0.017023586578626727</x:v>
      </x:c>
    </x:row>
    <x:row r="187" ht="20" customHeight="1">
      <x:c r="A187" s="27" t="str">
        <x:v>HCL</x:v>
      </x:c>
      <x:c r="B187" s="30" t="str">
        <x:v>2016-03</x:v>
      </x:c>
      <x:c r="C187" s="51" t="n">
        <x:f>COUNT('原始数据'!$D$619,'原始数据'!$D$691,'原始数据'!$D$763,'原始数据'!$D$835)</x:f>
        <x:v>4</x:v>
      </x:c>
      <x:c r="D187" s="54" t="n">
        <x:f>AVERAGE('原始数据'!$D$619,'原始数据'!$D$691,'原始数据'!$D$763,'原始数据'!$D$835)</x:f>
        <x:v>0.93235</x:v>
      </x:c>
      <x:c r="E187" s="54" t="n">
        <x:f>AVERAGE('原始数据'!$E$619,'原始数据'!$E$691,'原始数据'!$E$763,'原始数据'!$E$835)</x:f>
        <x:v>0.10320000000000001</x:v>
      </x:c>
      <x:c r="F187" s="57" t="n">
        <x:f>MIN('原始数据'!$D$619,'原始数据'!$D$691,'原始数据'!$D$763,'原始数据'!$D$835)</x:f>
        <x:v>0.9082</x:v>
      </x:c>
      <x:c r="G187" s="57" t="n">
        <x:f>MAX('原始数据'!$E$619,'原始数据'!$E$691,'原始数据'!$E$763,'原始数据'!$E$835)</x:f>
        <x:v>0.1479</x:v>
      </x:c>
      <x:c r="H187" s="60" t="n">
        <x:f>STDEV.P('原始数据'!$D$619,'原始数据'!$D$691,'原始数据'!$D$763,'原始数据'!$D$835)</x:f>
        <x:v>0.014867834408547873</x:v>
      </x:c>
      <x:c r="I187" s="63" t="n">
        <x:f>STDEV.P('原始数据'!$E$619,'原始数据'!$E$691,'原始数据'!$E$763,'原始数据'!$E$835)</x:f>
        <x:v>0.02708855847032101</x:v>
      </x:c>
    </x:row>
    <x:row r="188" ht="20" customHeight="1">
      <x:c r="A188" s="27" t="str">
        <x:v>HCL</x:v>
      </x:c>
      <x:c r="B188" s="30" t="str">
        <x:v>2016-04</x:v>
      </x:c>
      <x:c r="C188" s="51" t="n">
        <x:f>COUNT('原始数据'!$D$620,'原始数据'!$D$692,'原始数据'!$D$764,'原始数据'!$D$836)</x:f>
        <x:v>4</x:v>
      </x:c>
      <x:c r="D188" s="54" t="n">
        <x:f>AVERAGE('原始数据'!$D$620,'原始数据'!$D$692,'原始数据'!$D$764,'原始数据'!$D$836)</x:f>
        <x:v>0.9168999999999999</x:v>
      </x:c>
      <x:c r="E188" s="54" t="n">
        <x:f>AVERAGE('原始数据'!$E$620,'原始数据'!$E$692,'原始数据'!$E$764,'原始数据'!$E$836)</x:f>
        <x:v>0.099525</x:v>
      </x:c>
      <x:c r="F188" s="57" t="n">
        <x:f>MIN('原始数据'!$D$620,'原始数据'!$D$692,'原始数据'!$D$764,'原始数据'!$D$836)</x:f>
        <x:v>0.8808</x:v>
      </x:c>
      <x:c r="G188" s="57" t="n">
        <x:f>MAX('原始数据'!$E$620,'原始数据'!$E$692,'原始数据'!$E$764,'原始数据'!$E$836)</x:f>
        <x:v>0.162</x:v>
      </x:c>
      <x:c r="H188" s="60" t="n">
        <x:f>STDEV.P('原始数据'!$D$620,'原始数据'!$D$692,'原始数据'!$D$764,'原始数据'!$D$836)</x:f>
        <x:v>0.025857784127801813</x:v>
      </x:c>
      <x:c r="I188" s="63" t="n">
        <x:f>STDEV.P('原始数据'!$E$620,'原始数据'!$E$692,'原始数据'!$E$764,'原始数据'!$E$836)</x:f>
        <x:v>0.04509065174734116</x:v>
      </x:c>
    </x:row>
    <x:row r="189" ht="20" customHeight="1">
      <x:c r="A189" s="27" t="str">
        <x:v>HCL</x:v>
      </x:c>
      <x:c r="B189" s="30" t="str">
        <x:v>2016-05</x:v>
      </x:c>
      <x:c r="C189" s="51" t="n">
        <x:f>COUNT('原始数据'!$D$621,'原始数据'!$D$693,'原始数据'!$D$765,'原始数据'!$D$837)</x:f>
        <x:v>4</x:v>
      </x:c>
      <x:c r="D189" s="54" t="n">
        <x:f>AVERAGE('原始数据'!$D$621,'原始数据'!$D$693,'原始数据'!$D$765,'原始数据'!$D$837)</x:f>
        <x:v>0.941575</x:v>
      </x:c>
      <x:c r="E189" s="54" t="n">
        <x:f>AVERAGE('原始数据'!$E$621,'原始数据'!$E$693,'原始数据'!$E$765,'原始数据'!$E$837)</x:f>
        <x:v>0.08962500000000001</x:v>
      </x:c>
      <x:c r="F189" s="57" t="n">
        <x:f>MIN('原始数据'!$D$621,'原始数据'!$D$693,'原始数据'!$D$765,'原始数据'!$D$837)</x:f>
        <x:v>0.926</x:v>
      </x:c>
      <x:c r="G189" s="57" t="n">
        <x:f>MAX('原始数据'!$E$621,'原始数据'!$E$693,'原始数据'!$E$765,'原始数据'!$E$837)</x:f>
        <x:v>0.1216</x:v>
      </x:c>
      <x:c r="H189" s="60" t="n">
        <x:f>STDEV.P('原始数据'!$D$621,'原始数据'!$D$693,'原始数据'!$D$765,'原始数据'!$D$837)</x:f>
        <x:v>0.009906153390696091</x:v>
      </x:c>
      <x:c r="I189" s="63" t="n">
        <x:f>STDEV.P('原始数据'!$E$621,'原始数据'!$E$693,'原始数据'!$E$765,'原始数据'!$E$837)</x:f>
        <x:v>0.021338272540203436</x:v>
      </x:c>
    </x:row>
    <x:row r="190" ht="20" customHeight="1">
      <x:c r="A190" s="27" t="str">
        <x:v>HCL</x:v>
      </x:c>
      <x:c r="B190" s="30" t="str">
        <x:v>2016-06</x:v>
      </x:c>
      <x:c r="C190" s="51" t="n">
        <x:f>COUNT('原始数据'!$D$622,'原始数据'!$D$694,'原始数据'!$D$766,'原始数据'!$D$838)</x:f>
        <x:v>4</x:v>
      </x:c>
      <x:c r="D190" s="54" t="n">
        <x:f>AVERAGE('原始数据'!$D$622,'原始数据'!$D$694,'原始数据'!$D$766,'原始数据'!$D$838)</x:f>
        <x:v>0.9422499999999999</x:v>
      </x:c>
      <x:c r="E190" s="54" t="n">
        <x:f>AVERAGE('原始数据'!$E$622,'原始数据'!$E$694,'原始数据'!$E$766,'原始数据'!$E$838)</x:f>
        <x:v>0.079775</x:v>
      </x:c>
      <x:c r="F190" s="57" t="n">
        <x:f>MIN('原始数据'!$D$622,'原始数据'!$D$694,'原始数据'!$D$766,'原始数据'!$D$838)</x:f>
        <x:v>0.9383</x:v>
      </x:c>
      <x:c r="G190" s="57" t="n">
        <x:f>MAX('原始数据'!$E$622,'原始数据'!$E$694,'原始数据'!$E$766,'原始数据'!$E$838)</x:f>
        <x:v>0.0874</x:v>
      </x:c>
      <x:c r="H190" s="60" t="n">
        <x:f>STDEV.P('原始数据'!$D$622,'原始数据'!$D$694,'原始数据'!$D$766,'原始数据'!$D$838)</x:f>
        <x:v>0.005227571137727318</x:v>
      </x:c>
      <x:c r="I190" s="63" t="n">
        <x:f>STDEV.P('原始数据'!$E$622,'原始数据'!$E$694,'原始数据'!$E$766,'原始数据'!$E$838)</x:f>
        <x:v>0.006818495068561687</x:v>
      </x:c>
    </x:row>
    <x:row r="191" ht="20" customHeight="1">
      <x:c r="A191" s="27" t="str">
        <x:v>HCL</x:v>
      </x:c>
      <x:c r="B191" s="30" t="str">
        <x:v>2016-07</x:v>
      </x:c>
      <x:c r="C191" s="51" t="n">
        <x:f>COUNT('原始数据'!$D$623,'原始数据'!$D$695,'原始数据'!$D$767,'原始数据'!$D$839)</x:f>
        <x:v>4</x:v>
      </x:c>
      <x:c r="D191" s="54" t="n">
        <x:f>AVERAGE('原始数据'!$D$623,'原始数据'!$D$695,'原始数据'!$D$767,'原始数据'!$D$839)</x:f>
        <x:v>0.927325</x:v>
      </x:c>
      <x:c r="E191" s="54" t="n">
        <x:f>AVERAGE('原始数据'!$E$623,'原始数据'!$E$695,'原始数据'!$E$767,'原始数据'!$E$839)</x:f>
        <x:v>0.0972</x:v>
      </x:c>
      <x:c r="F191" s="57" t="n">
        <x:f>MIN('原始数据'!$D$623,'原始数据'!$D$695,'原始数据'!$D$767,'原始数据'!$D$839)</x:f>
        <x:v>0.9169</x:v>
      </x:c>
      <x:c r="G191" s="57" t="n">
        <x:f>MAX('原始数据'!$E$623,'原始数据'!$E$695,'原始数据'!$E$767,'原始数据'!$E$839)</x:f>
        <x:v>0.1164</x:v>
      </x:c>
      <x:c r="H191" s="60" t="n">
        <x:f>STDEV.P('原始数据'!$D$623,'原始数据'!$D$695,'原始数据'!$D$767,'原始数据'!$D$839)</x:f>
        <x:v>0.012824463926418134</x:v>
      </x:c>
      <x:c r="I191" s="63" t="n">
        <x:f>STDEV.P('原始数据'!$E$623,'原始数据'!$E$695,'原始数据'!$E$767,'原始数据'!$E$839)</x:f>
        <x:v>0.017603976823433964</x:v>
      </x:c>
    </x:row>
    <x:row r="192" ht="20" customHeight="1">
      <x:c r="A192" s="27" t="str">
        <x:v>HCL</x:v>
      </x:c>
      <x:c r="B192" s="30" t="str">
        <x:v>2016-08</x:v>
      </x:c>
      <x:c r="C192" s="51" t="n">
        <x:f>COUNT('原始数据'!$D$624,'原始数据'!$D$696,'原始数据'!$D$768,'原始数据'!$D$840)</x:f>
        <x:v>4</x:v>
      </x:c>
      <x:c r="D192" s="54" t="n">
        <x:f>AVERAGE('原始数据'!$D$624,'原始数据'!$D$696,'原始数据'!$D$768,'原始数据'!$D$840)</x:f>
        <x:v>0.9271499999999999</x:v>
      </x:c>
      <x:c r="E192" s="54" t="n">
        <x:f>AVERAGE('原始数据'!$E$624,'原始数据'!$E$696,'原始数据'!$E$768,'原始数据'!$E$840)</x:f>
        <x:v>0.09860000000000001</x:v>
      </x:c>
      <x:c r="F192" s="57" t="n">
        <x:f>MIN('原始数据'!$D$624,'原始数据'!$D$696,'原始数据'!$D$768,'原始数据'!$D$840)</x:f>
        <x:v>0.9066</x:v>
      </x:c>
      <x:c r="G192" s="57" t="n">
        <x:f>MAX('原始数据'!$E$624,'原始数据'!$E$696,'原始数据'!$E$768,'原始数据'!$E$840)</x:f>
        <x:v>0.1308</x:v>
      </x:c>
      <x:c r="H192" s="60" t="n">
        <x:f>STDEV.P('原始数据'!$D$624,'原始数据'!$D$696,'原始数据'!$D$768,'原始数据'!$D$840)</x:f>
        <x:v>0.015855046515226623</x:v>
      </x:c>
      <x:c r="I192" s="63" t="n">
        <x:f>STDEV.P('原始数据'!$E$624,'原始数据'!$E$696,'原始数据'!$E$768,'原始数据'!$E$840)</x:f>
        <x:v>0.023592795510494303</x:v>
      </x:c>
    </x:row>
    <x:row r="193" ht="20" customHeight="1">
      <x:c r="A193" s="27" t="str">
        <x:v>HCL</x:v>
      </x:c>
      <x:c r="B193" s="30" t="str">
        <x:v>2016-09</x:v>
      </x:c>
      <x:c r="C193" s="51" t="n">
        <x:f>COUNT('原始数据'!$D$625,'原始数据'!$D$697,'原始数据'!$D$769,'原始数据'!$D$841)</x:f>
        <x:v>4</x:v>
      </x:c>
      <x:c r="D193" s="54" t="n">
        <x:f>AVERAGE('原始数据'!$D$625,'原始数据'!$D$697,'原始数据'!$D$769,'原始数据'!$D$841)</x:f>
        <x:v>0.90955</x:v>
      </x:c>
      <x:c r="E193" s="54" t="n">
        <x:f>AVERAGE('原始数据'!$E$625,'原始数据'!$E$697,'原始数据'!$E$769,'原始数据'!$E$841)</x:f>
        <x:v>0.142525</x:v>
      </x:c>
      <x:c r="F193" s="57" t="n">
        <x:f>MIN('原始数据'!$D$625,'原始数据'!$D$697,'原始数据'!$D$769,'原始数据'!$D$841)</x:f>
        <x:v>0.8712</x:v>
      </x:c>
      <x:c r="G193" s="57" t="n">
        <x:f>MAX('原始数据'!$E$625,'原始数据'!$E$697,'原始数据'!$E$769,'原始数据'!$E$841)</x:f>
        <x:v>0.211</x:v>
      </x:c>
      <x:c r="H193" s="60" t="n">
        <x:f>STDEV.P('原始数据'!$D$625,'原始数据'!$D$697,'原始数据'!$D$769,'原始数据'!$D$841)</x:f>
        <x:v>0.03741086072252282</x:v>
      </x:c>
      <x:c r="I193" s="63" t="n">
        <x:f>STDEV.P('原始数据'!$E$625,'原始数据'!$E$697,'原始数据'!$E$769,'原始数据'!$E$841)</x:f>
        <x:v>0.06547581137336138</x:v>
      </x:c>
    </x:row>
    <x:row r="194" ht="20" customHeight="1">
      <x:c r="A194" s="27" t="str">
        <x:v>HCL</x:v>
      </x:c>
      <x:c r="B194" s="30" t="str">
        <x:v>2016-10</x:v>
      </x:c>
      <x:c r="C194" s="51" t="n">
        <x:f>COUNT('原始数据'!$D$626,'原始数据'!$D$698,'原始数据'!$D$770,'原始数据'!$D$842)</x:f>
        <x:v>4</x:v>
      </x:c>
      <x:c r="D194" s="54" t="n">
        <x:f>AVERAGE('原始数据'!$D$626,'原始数据'!$D$698,'原始数据'!$D$770,'原始数据'!$D$842)</x:f>
        <x:v>0.9125249999999999</x:v>
      </x:c>
      <x:c r="E194" s="54" t="n">
        <x:f>AVERAGE('原始数据'!$E$626,'原始数据'!$E$698,'原始数据'!$E$770,'原始数据'!$E$842)</x:f>
        <x:v>0.104675</x:v>
      </x:c>
      <x:c r="F194" s="57" t="n">
        <x:f>MIN('原始数据'!$D$626,'原始数据'!$D$698,'原始数据'!$D$770,'原始数据'!$D$842)</x:f>
        <x:v>0.8855</x:v>
      </x:c>
      <x:c r="G194" s="57" t="n">
        <x:f>MAX('原始数据'!$E$626,'原始数据'!$E$698,'原始数据'!$E$770,'原始数据'!$E$842)</x:f>
        <x:v>0.1667</x:v>
      </x:c>
      <x:c r="H194" s="60" t="n">
        <x:f>STDEV.P('原始数据'!$D$626,'原始数据'!$D$698,'原始数据'!$D$770,'原始数据'!$D$842)</x:f>
        <x:v>0.022509039850691116</x:v>
      </x:c>
      <x:c r="I194" s="63" t="n">
        <x:f>STDEV.P('原始数据'!$E$626,'原始数据'!$E$698,'原始数据'!$E$770,'原始数据'!$E$842)</x:f>
        <x:v>0.05184362906857505</x:v>
      </x:c>
    </x:row>
    <x:row r="195" ht="20" customHeight="1">
      <x:c r="A195" s="27" t="str">
        <x:v>HCL</x:v>
      </x:c>
      <x:c r="B195" s="30" t="str">
        <x:v>2016-11</x:v>
      </x:c>
      <x:c r="C195" s="51" t="n">
        <x:f>COUNT('原始数据'!$D$627,'原始数据'!$D$699,'原始数据'!$D$771,'原始数据'!$D$843)</x:f>
        <x:v>4</x:v>
      </x:c>
      <x:c r="D195" s="54" t="n">
        <x:f>AVERAGE('原始数据'!$D$627,'原始数据'!$D$699,'原始数据'!$D$771,'原始数据'!$D$843)</x:f>
        <x:v>0.9037</x:v>
      </x:c>
      <x:c r="E195" s="54" t="n">
        <x:f>AVERAGE('原始数据'!$E$627,'原始数据'!$E$699,'原始数据'!$E$771,'原始数据'!$E$843)</x:f>
        <x:v>0.13485</x:v>
      </x:c>
      <x:c r="F195" s="57" t="n">
        <x:f>MIN('原始数据'!$D$627,'原始数据'!$D$699,'原始数据'!$D$771,'原始数据'!$D$843)</x:f>
        <x:v>0.7972</x:v>
      </x:c>
      <x:c r="G195" s="57" t="n">
        <x:f>MAX('原始数据'!$E$627,'原始数据'!$E$699,'原始数据'!$E$771,'原始数据'!$E$843)</x:f>
        <x:v>0.3152</x:v>
      </x:c>
      <x:c r="H195" s="60" t="n">
        <x:f>STDEV.P('原始数据'!$D$627,'原始数据'!$D$699,'原始数据'!$D$771,'原始数据'!$D$843)</x:f>
        <x:v>0.0634971259192099</x:v>
      </x:c>
      <x:c r="I195" s="63" t="n">
        <x:f>STDEV.P('原始数据'!$E$627,'原始数据'!$E$699,'原始数据'!$E$771,'原始数据'!$E$843)</x:f>
        <x:v>0.10465776368717228</x:v>
      </x:c>
    </x:row>
    <x:row r="196" ht="20" customHeight="1">
      <x:c r="A196" s="27" t="str">
        <x:v>HCL</x:v>
      </x:c>
      <x:c r="B196" s="30" t="str">
        <x:v>2016-12</x:v>
      </x:c>
      <x:c r="C196" s="51" t="n">
        <x:f>COUNT('原始数据'!$D$628,'原始数据'!$D$700,'原始数据'!$D$772,'原始数据'!$D$844)</x:f>
        <x:v>4</x:v>
      </x:c>
      <x:c r="D196" s="54" t="n">
        <x:f>AVERAGE('原始数据'!$D$628,'原始数据'!$D$700,'原始数据'!$D$772,'原始数据'!$D$844)</x:f>
        <x:v>0.87035</x:v>
      </x:c>
      <x:c r="E196" s="54" t="n">
        <x:f>AVERAGE('原始数据'!$E$628,'原始数据'!$E$700,'原始数据'!$E$772,'原始数据'!$E$844)</x:f>
        <x:v>0.196275</x:v>
      </x:c>
      <x:c r="F196" s="57" t="n">
        <x:f>MIN('原始数据'!$D$628,'原始数据'!$D$700,'原始数据'!$D$772,'原始数据'!$D$844)</x:f>
        <x:v>0.8642</x:v>
      </x:c>
      <x:c r="G196" s="57" t="n">
        <x:f>MAX('原始数据'!$E$628,'原始数据'!$E$700,'原始数据'!$E$772,'原始数据'!$E$844)</x:f>
        <x:v>0.202</x:v>
      </x:c>
      <x:c r="H196" s="60" t="n">
        <x:f>STDEV.P('原始数据'!$D$628,'原始数据'!$D$700,'原始数据'!$D$772,'原始数据'!$D$844)</x:f>
        <x:v>0.005252856365826142</x:v>
      </x:c>
      <x:c r="I196" s="63" t="n">
        <x:f>STDEV.P('原始数据'!$E$628,'原始数据'!$E$700,'原始数据'!$E$772,'原始数据'!$E$844)</x:f>
        <x:v>0.006673595357826249</x:v>
      </x:c>
    </x:row>
    <x:row r="197" ht="20" customHeight="1">
      <x:c r="A197" s="27" t="str">
        <x:v>HCL</x:v>
      </x:c>
      <x:c r="B197" s="30" t="str">
        <x:v>2017-01</x:v>
      </x:c>
      <x:c r="C197" s="51" t="n">
        <x:f>COUNT('原始数据'!$D$629,'原始数据'!$D$701,'原始数据'!$D$773,'原始数据'!$D$845)</x:f>
        <x:v>4</x:v>
      </x:c>
      <x:c r="D197" s="54" t="n">
        <x:f>AVERAGE('原始数据'!$D$629,'原始数据'!$D$701,'原始数据'!$D$773,'原始数据'!$D$845)</x:f>
        <x:v>0.9090500000000001</x:v>
      </x:c>
      <x:c r="E197" s="54" t="n">
        <x:f>AVERAGE('原始数据'!$E$629,'原始数据'!$E$701,'原始数据'!$E$773,'原始数据'!$E$845)</x:f>
        <x:v>0.11330000000000001</x:v>
      </x:c>
      <x:c r="F197" s="57" t="n">
        <x:f>MIN('原始数据'!$D$629,'原始数据'!$D$701,'原始数据'!$D$773,'原始数据'!$D$845)</x:f>
        <x:v>0.8918</x:v>
      </x:c>
      <x:c r="G197" s="57" t="n">
        <x:f>MAX('原始数据'!$E$629,'原始数据'!$E$701,'原始数据'!$E$773,'原始数据'!$E$845)</x:f>
        <x:v>0.1375</x:v>
      </x:c>
      <x:c r="H197" s="60" t="n">
        <x:f>STDEV.P('原始数据'!$D$629,'原始数据'!$D$701,'原始数据'!$D$773,'原始数据'!$D$845)</x:f>
        <x:v>0.011757869705010344</x:v>
      </x:c>
      <x:c r="I197" s="63" t="n">
        <x:f>STDEV.P('原始数据'!$E$629,'原始数据'!$E$701,'原始数据'!$E$773,'原始数据'!$E$845)</x:f>
        <x:v>0.01744090020612469</x:v>
      </x:c>
    </x:row>
    <x:row r="198" ht="20" customHeight="1">
      <x:c r="A198" s="27" t="str">
        <x:v>HCL</x:v>
      </x:c>
      <x:c r="B198" s="30" t="str">
        <x:v>2017-02</x:v>
      </x:c>
      <x:c r="C198" s="51" t="n">
        <x:f>COUNT('原始数据'!$D$630,'原始数据'!$D$702,'原始数据'!$D$774,'原始数据'!$D$846)</x:f>
        <x:v>4</x:v>
      </x:c>
      <x:c r="D198" s="54" t="n">
        <x:f>AVERAGE('原始数据'!$D$630,'原始数据'!$D$702,'原始数据'!$D$774,'原始数据'!$D$846)</x:f>
        <x:v>0.945725</x:v>
      </x:c>
      <x:c r="E198" s="54" t="n">
        <x:f>AVERAGE('原始数据'!$E$630,'原始数据'!$E$702,'原始数据'!$E$774,'原始数据'!$E$846)</x:f>
        <x:v>0.074725</x:v>
      </x:c>
      <x:c r="F198" s="57" t="n">
        <x:f>MIN('原始数据'!$D$630,'原始数据'!$D$702,'原始数据'!$D$774,'原始数据'!$D$846)</x:f>
        <x:v>0.9333</x:v>
      </x:c>
      <x:c r="G198" s="57" t="n">
        <x:f>MAX('原始数据'!$E$630,'原始数据'!$E$702,'原始数据'!$E$774,'原始数据'!$E$846)</x:f>
        <x:v>0.0978</x:v>
      </x:c>
      <x:c r="H198" s="60" t="n">
        <x:f>STDEV.P('原始数据'!$D$630,'原始数据'!$D$702,'原始数据'!$D$774,'原始数据'!$D$846)</x:f>
        <x:v>0.011889990538263678</x:v>
      </x:c>
      <x:c r="I198" s="63" t="n">
        <x:f>STDEV.P('原始数据'!$E$630,'原始数据'!$E$702,'原始数据'!$E$774,'原始数据'!$E$846)</x:f>
        <x:v>0.018978853363678216</x:v>
      </x:c>
    </x:row>
    <x:row r="199" ht="20" customHeight="1">
      <x:c r="A199" s="27" t="str">
        <x:v>HCL</x:v>
      </x:c>
      <x:c r="B199" s="30" t="str">
        <x:v>2017-03</x:v>
      </x:c>
      <x:c r="C199" s="51" t="n">
        <x:f>COUNT('原始数据'!$D$631,'原始数据'!$D$703,'原始数据'!$D$775,'原始数据'!$D$847)</x:f>
        <x:v>4</x:v>
      </x:c>
      <x:c r="D199" s="54" t="n">
        <x:f>AVERAGE('原始数据'!$D$631,'原始数据'!$D$703,'原始数据'!$D$775,'原始数据'!$D$847)</x:f>
        <x:v>0.8886000000000001</x:v>
      </x:c>
      <x:c r="E199" s="54" t="n">
        <x:f>AVERAGE('原始数据'!$E$631,'原始数据'!$E$703,'原始数据'!$E$775,'原始数据'!$E$847)</x:f>
        <x:v>0.118225</x:v>
      </x:c>
      <x:c r="F199" s="57" t="n">
        <x:f>MIN('原始数据'!$D$631,'原始数据'!$D$703,'原始数据'!$D$775,'原始数据'!$D$847)</x:f>
        <x:v>0.8698</x:v>
      </x:c>
      <x:c r="G199" s="57" t="n">
        <x:f>MAX('原始数据'!$E$631,'原始数据'!$E$703,'原始数据'!$E$775,'原始数据'!$E$847)</x:f>
        <x:v>0.1476</x:v>
      </x:c>
      <x:c r="H199" s="60" t="n">
        <x:f>STDEV.P('原始数据'!$D$631,'原始数据'!$D$703,'原始数据'!$D$775,'原始数据'!$D$847)</x:f>
        <x:v>0.017184731595227196</x:v>
      </x:c>
      <x:c r="I199" s="63" t="n">
        <x:f>STDEV.P('原始数据'!$E$631,'原始数据'!$E$703,'原始数据'!$E$775,'原始数据'!$E$847)</x:f>
        <x:v>0.02861978118364989</x:v>
      </x:c>
    </x:row>
    <x:row r="200" ht="20" customHeight="1">
      <x:c r="A200" s="27" t="str">
        <x:v>HCL</x:v>
      </x:c>
      <x:c r="B200" s="30" t="str">
        <x:v>2017-04</x:v>
      </x:c>
      <x:c r="C200" s="51" t="n">
        <x:f>COUNT('原始数据'!$D$632,'原始数据'!$D$704,'原始数据'!$D$776,'原始数据'!$D$848)</x:f>
        <x:v>4</x:v>
      </x:c>
      <x:c r="D200" s="54" t="n">
        <x:f>AVERAGE('原始数据'!$D$632,'原始数据'!$D$704,'原始数据'!$D$776,'原始数据'!$D$848)</x:f>
        <x:v>0.858575</x:v>
      </x:c>
      <x:c r="E200" s="54" t="n">
        <x:f>AVERAGE('原始数据'!$E$632,'原始数据'!$E$704,'原始数据'!$E$776,'原始数据'!$E$848)</x:f>
        <x:v>0.19355</x:v>
      </x:c>
      <x:c r="F200" s="57" t="n">
        <x:f>MIN('原始数据'!$D$632,'原始数据'!$D$704,'原始数据'!$D$776,'原始数据'!$D$848)</x:f>
        <x:v>0.8214</x:v>
      </x:c>
      <x:c r="G200" s="57" t="n">
        <x:f>MAX('原始数据'!$E$632,'原始数据'!$E$704,'原始数据'!$E$776,'原始数据'!$E$848)</x:f>
        <x:v>0.2581</x:v>
      </x:c>
      <x:c r="H200" s="60" t="n">
        <x:f>STDEV.P('原始数据'!$D$632,'原始数据'!$D$704,'原始数据'!$D$776,'原始数据'!$D$848)</x:f>
        <x:v>0.022337006849620655</x:v>
      </x:c>
      <x:c r="I200" s="63" t="n">
        <x:f>STDEV.P('原始数据'!$E$632,'原始数据'!$E$704,'原始数据'!$E$776,'原始数据'!$E$848)</x:f>
        <x:v>0.047650419725328755</x:v>
      </x:c>
    </x:row>
    <x:row r="201" ht="20" customHeight="1">
      <x:c r="A201" s="27" t="str">
        <x:v>HCL</x:v>
      </x:c>
      <x:c r="B201" s="30" t="str">
        <x:v>2017-05</x:v>
      </x:c>
      <x:c r="C201" s="51" t="n">
        <x:f>COUNT('原始数据'!$D$633,'原始数据'!$D$705,'原始数据'!$D$777,'原始数据'!$D$849)</x:f>
        <x:v>4</x:v>
      </x:c>
      <x:c r="D201" s="54" t="n">
        <x:f>AVERAGE('原始数据'!$D$633,'原始数据'!$D$705,'原始数据'!$D$777,'原始数据'!$D$849)</x:f>
        <x:v>0.8888499999999999</x:v>
      </x:c>
      <x:c r="E201" s="54" t="n">
        <x:f>AVERAGE('原始数据'!$E$633,'原始数据'!$E$705,'原始数据'!$E$777,'原始数据'!$E$849)</x:f>
        <x:v>0.169175</x:v>
      </x:c>
      <x:c r="F201" s="57" t="n">
        <x:f>MIN('原始数据'!$D$633,'原始数据'!$D$705,'原始数据'!$D$777,'原始数据'!$D$849)</x:f>
        <x:v>0.8715</x:v>
      </x:c>
      <x:c r="G201" s="57" t="n">
        <x:f>MAX('原始数据'!$E$633,'原始数据'!$E$705,'原始数据'!$E$777,'原始数据'!$E$849)</x:f>
        <x:v>0.2121</x:v>
      </x:c>
      <x:c r="H201" s="60" t="n">
        <x:f>STDEV.P('原始数据'!$D$633,'原始数据'!$D$705,'原始数据'!$D$777,'原始数据'!$D$849)</x:f>
        <x:v>0.016414246860578154</x:v>
      </x:c>
      <x:c r="I201" s="63" t="n">
        <x:f>STDEV.P('原始数据'!$E$633,'原始数据'!$E$705,'原始数据'!$E$777,'原始数据'!$E$849)</x:f>
        <x:v>0.033782197604655624</x:v>
      </x:c>
    </x:row>
    <x:row r="202" ht="20" customHeight="1">
      <x:c r="A202" s="27" t="str">
        <x:v>HCL</x:v>
      </x:c>
      <x:c r="B202" s="30" t="str">
        <x:v>2017-06</x:v>
      </x:c>
      <x:c r="C202" s="51" t="n">
        <x:f>COUNT('原始数据'!$D$634,'原始数据'!$D$706,'原始数据'!$D$778,'原始数据'!$D$850)</x:f>
        <x:v>4</x:v>
      </x:c>
      <x:c r="D202" s="54" t="n">
        <x:f>AVERAGE('原始数据'!$D$634,'原始数据'!$D$706,'原始数据'!$D$778,'原始数据'!$D$850)</x:f>
        <x:v>0.900925</x:v>
      </x:c>
      <x:c r="E202" s="54" t="n">
        <x:f>AVERAGE('原始数据'!$E$634,'原始数据'!$E$706,'原始数据'!$E$778,'原始数据'!$E$850)</x:f>
        <x:v>0.13272499999999998</x:v>
      </x:c>
      <x:c r="F202" s="57" t="n">
        <x:f>MIN('原始数据'!$D$634,'原始数据'!$D$706,'原始数据'!$D$778,'原始数据'!$D$850)</x:f>
        <x:v>0.8815</x:v>
      </x:c>
      <x:c r="G202" s="57" t="n">
        <x:f>MAX('原始数据'!$E$634,'原始数据'!$E$706,'原始数据'!$E$778,'原始数据'!$E$850)</x:f>
        <x:v>0.177</x:v>
      </x:c>
      <x:c r="H202" s="60" t="n">
        <x:f>STDEV.P('原始数据'!$D$634,'原始数据'!$D$706,'原始数据'!$D$778,'原始数据'!$D$850)</x:f>
        <x:v>0.011938043181359364</x:v>
      </x:c>
      <x:c r="I202" s="63" t="n">
        <x:f>STDEV.P('原始数据'!$E$634,'原始数据'!$E$706,'原始数据'!$E$778,'原始数据'!$E$850)</x:f>
        <x:v>0.027285653281532398</x:v>
      </x:c>
    </x:row>
    <x:row r="203" ht="20" customHeight="1">
      <x:c r="A203" s="27" t="str">
        <x:v>HCL</x:v>
      </x:c>
      <x:c r="B203" s="30" t="str">
        <x:v>2017-07</x:v>
      </x:c>
      <x:c r="C203" s="51" t="n">
        <x:f>COUNT('原始数据'!$D$635,'原始数据'!$D$707,'原始数据'!$D$779,'原始数据'!$D$851)</x:f>
        <x:v>4</x:v>
      </x:c>
      <x:c r="D203" s="54" t="n">
        <x:f>AVERAGE('原始数据'!$D$635,'原始数据'!$D$707,'原始数据'!$D$779,'原始数据'!$D$851)</x:f>
        <x:v>0.868075</x:v>
      </x:c>
      <x:c r="E203" s="54" t="n">
        <x:f>AVERAGE('原始数据'!$E$635,'原始数据'!$E$707,'原始数据'!$E$779,'原始数据'!$E$851)</x:f>
        <x:v>0.12432499999999999</x:v>
      </x:c>
      <x:c r="F203" s="57" t="n">
        <x:f>MIN('原始数据'!$D$635,'原始数据'!$D$707,'原始数据'!$D$779,'原始数据'!$D$851)</x:f>
        <x:v>0.8382</x:v>
      </x:c>
      <x:c r="G203" s="57" t="n">
        <x:f>MAX('原始数据'!$E$635,'原始数据'!$E$707,'原始数据'!$E$779,'原始数据'!$E$851)</x:f>
        <x:v>0.1711</x:v>
      </x:c>
      <x:c r="H203" s="60" t="n">
        <x:f>STDEV.P('原始数据'!$D$635,'原始数据'!$D$707,'原始数据'!$D$779,'原始数据'!$D$851)</x:f>
        <x:v>0.041287006127836375</x:v>
      </x:c>
      <x:c r="I203" s="63" t="n">
        <x:f>STDEV.P('原始数据'!$E$635,'原始数据'!$E$707,'原始数据'!$E$779,'原始数据'!$E$851)</x:f>
        <x:v>0.04526700647270593</x:v>
      </x:c>
    </x:row>
    <x:row r="204" ht="20" customHeight="1">
      <x:c r="A204" s="27" t="str">
        <x:v>HCL</x:v>
      </x:c>
      <x:c r="B204" s="30" t="str">
        <x:v>2017-08</x:v>
      </x:c>
      <x:c r="C204" s="51" t="n">
        <x:f>COUNT('原始数据'!$D$636,'原始数据'!$D$708,'原始数据'!$D$780,'原始数据'!$D$852)</x:f>
        <x:v>4</x:v>
      </x:c>
      <x:c r="D204" s="54" t="n">
        <x:f>AVERAGE('原始数据'!$D$636,'原始数据'!$D$708,'原始数据'!$D$780,'原始数据'!$D$852)</x:f>
        <x:v>0.9494</x:v>
      </x:c>
      <x:c r="E204" s="54" t="n">
        <x:f>AVERAGE('原始数据'!$E$636,'原始数据'!$E$708,'原始数据'!$E$780,'原始数据'!$E$852)</x:f>
        <x:v>0.04985</x:v>
      </x:c>
      <x:c r="F204" s="57" t="n">
        <x:f>MIN('原始数据'!$D$636,'原始数据'!$D$708,'原始数据'!$D$780,'原始数据'!$D$852)</x:f>
        <x:v>0.9444</x:v>
      </x:c>
      <x:c r="G204" s="57" t="n">
        <x:f>MAX('原始数据'!$E$636,'原始数据'!$E$708,'原始数据'!$E$780,'原始数据'!$E$852)</x:f>
        <x:v>0.0541</x:v>
      </x:c>
      <x:c r="H204" s="60" t="n">
        <x:f>STDEV.P('原始数据'!$D$636,'原始数据'!$D$708,'原始数据'!$D$780,'原始数据'!$D$852)</x:f>
        <x:v>0.003169384798348073</x:v>
      </x:c>
      <x:c r="I204" s="63" t="n">
        <x:f>STDEV.P('原始数据'!$E$636,'原始数据'!$E$708,'原始数据'!$E$780,'原始数据'!$E$852)</x:f>
        <x:v>0.004416729559300637</x:v>
      </x:c>
    </x:row>
    <x:row r="205" ht="20" customHeight="1">
      <x:c r="A205" s="27" t="str">
        <x:v>HCL</x:v>
      </x:c>
      <x:c r="B205" s="30" t="str">
        <x:v>2017-09</x:v>
      </x:c>
      <x:c r="C205" s="51" t="n">
        <x:f>COUNT('原始数据'!$D$637,'原始数据'!$D$709,'原始数据'!$D$781,'原始数据'!$D$853)</x:f>
        <x:v>4</x:v>
      </x:c>
      <x:c r="D205" s="54" t="n">
        <x:f>AVERAGE('原始数据'!$D$637,'原始数据'!$D$709,'原始数据'!$D$781,'原始数据'!$D$853)</x:f>
        <x:v>0.9287000000000001</x:v>
      </x:c>
      <x:c r="E205" s="54" t="n">
        <x:f>AVERAGE('原始数据'!$E$637,'原始数据'!$E$709,'原始数据'!$E$781,'原始数据'!$E$853)</x:f>
        <x:v>0.055725000000000004</x:v>
      </x:c>
      <x:c r="F205" s="57" t="n">
        <x:f>MIN('原始数据'!$D$637,'原始数据'!$D$709,'原始数据'!$D$781,'原始数据'!$D$853)</x:f>
        <x:v>0.9236</x:v>
      </x:c>
      <x:c r="G205" s="57" t="n">
        <x:f>MAX('原始数据'!$E$637,'原始数据'!$E$709,'原始数据'!$E$781,'原始数据'!$E$853)</x:f>
        <x:v>0.0764</x:v>
      </x:c>
      <x:c r="H205" s="60" t="n">
        <x:f>STDEV.P('原始数据'!$D$637,'原始数据'!$D$709,'原始数据'!$D$781,'原始数据'!$D$853)</x:f>
        <x:v>0.005507721852090943</x:v>
      </x:c>
      <x:c r="I205" s="63" t="n">
        <x:f>STDEV.P('原始数据'!$E$637,'原始数据'!$E$709,'原始数据'!$E$781,'原始数据'!$E$853)</x:f>
        <x:v>0.015181794195680562</x:v>
      </x:c>
    </x:row>
    <x:row r="206" ht="20" customHeight="1">
      <x:c r="A206" s="27" t="str">
        <x:v>HCL</x:v>
      </x:c>
      <x:c r="B206" s="30" t="str">
        <x:v>2017-10</x:v>
      </x:c>
      <x:c r="C206" s="51" t="n">
        <x:f>COUNT('原始数据'!$D$638,'原始数据'!$D$710,'原始数据'!$D$782,'原始数据'!$D$854)</x:f>
        <x:v>4</x:v>
      </x:c>
      <x:c r="D206" s="54" t="n">
        <x:f>AVERAGE('原始数据'!$D$638,'原始数据'!$D$710,'原始数据'!$D$782,'原始数据'!$D$854)</x:f>
        <x:v>0.91605</x:v>
      </x:c>
      <x:c r="E206" s="54" t="n">
        <x:f>AVERAGE('原始数据'!$E$638,'原始数据'!$E$710,'原始数据'!$E$782,'原始数据'!$E$854)</x:f>
        <x:v>0.10970000000000002</x:v>
      </x:c>
      <x:c r="F206" s="57" t="n">
        <x:f>MIN('原始数据'!$D$638,'原始数据'!$D$710,'原始数据'!$D$782,'原始数据'!$D$854)</x:f>
        <x:v>0.8979</x:v>
      </x:c>
      <x:c r="G206" s="57" t="n">
        <x:f>MAX('原始数据'!$E$638,'原始数据'!$E$710,'原始数据'!$E$782,'原始数据'!$E$854)</x:f>
        <x:v>0.1448</x:v>
      </x:c>
      <x:c r="H206" s="60" t="n">
        <x:f>STDEV.P('原始数据'!$D$638,'原始数据'!$D$710,'原始数据'!$D$782,'原始数据'!$D$854)</x:f>
        <x:v>0.01506361510395162</x:v>
      </x:c>
      <x:c r="I206" s="63" t="n">
        <x:f>STDEV.P('原始数据'!$E$638,'原始数据'!$E$710,'原始数据'!$E$782,'原始数据'!$E$854)</x:f>
        <x:v>0.02403851076918036</x:v>
      </x:c>
    </x:row>
    <x:row r="207" ht="20" customHeight="1">
      <x:c r="A207" s="27" t="str">
        <x:v>HCL</x:v>
      </x:c>
      <x:c r="B207" s="30" t="str">
        <x:v>2017-11</x:v>
      </x:c>
      <x:c r="C207" s="51" t="n">
        <x:f>COUNT('原始数据'!$D$639,'原始数据'!$D$711,'原始数据'!$D$783,'原始数据'!$D$855)</x:f>
        <x:v>4</x:v>
      </x:c>
      <x:c r="D207" s="54" t="n">
        <x:f>AVERAGE('原始数据'!$D$639,'原始数据'!$D$711,'原始数据'!$D$783,'原始数据'!$D$855)</x:f>
        <x:v>0.89805</x:v>
      </x:c>
      <x:c r="E207" s="54" t="n">
        <x:f>AVERAGE('原始数据'!$E$639,'原始数据'!$E$711,'原始数据'!$E$783,'原始数据'!$E$855)</x:f>
        <x:v>0.09512499999999999</x:v>
      </x:c>
      <x:c r="F207" s="57" t="n">
        <x:f>MIN('原始数据'!$D$639,'原始数据'!$D$711,'原始数据'!$D$783,'原始数据'!$D$855)</x:f>
        <x:v>0.8715</x:v>
      </x:c>
      <x:c r="G207" s="57" t="n">
        <x:f>MAX('原始数据'!$E$639,'原始数据'!$E$711,'原始数据'!$E$783,'原始数据'!$E$855)</x:f>
        <x:v>0.1522</x:v>
      </x:c>
      <x:c r="H207" s="60" t="n">
        <x:f>STDEV.P('原始数据'!$D$639,'原始数据'!$D$711,'原始数据'!$D$783,'原始数据'!$D$855)</x:f>
        <x:v>0.025910374370124396</x:v>
      </x:c>
      <x:c r="I207" s="63" t="n">
        <x:f>STDEV.P('原始数据'!$E$639,'原始数据'!$E$711,'原始数据'!$E$783,'原始数据'!$E$855)</x:f>
        <x:v>0.05176863794808591</x:v>
      </x:c>
    </x:row>
    <x:row r="208" ht="20" customHeight="1">
      <x:c r="A208" s="27" t="str">
        <x:v>HCL</x:v>
      </x:c>
      <x:c r="B208" s="30" t="str">
        <x:v>2017-12</x:v>
      </x:c>
      <x:c r="C208" s="51" t="n">
        <x:f>COUNT('原始数据'!$D$640,'原始数据'!$D$712,'原始数据'!$D$784,'原始数据'!$D$856)</x:f>
        <x:v>4</x:v>
      </x:c>
      <x:c r="D208" s="54" t="n">
        <x:f>AVERAGE('原始数据'!$D$640,'原始数据'!$D$712,'原始数据'!$D$784,'原始数据'!$D$856)</x:f>
        <x:v>0.904625</x:v>
      </x:c>
      <x:c r="E208" s="54" t="n">
        <x:f>AVERAGE('原始数据'!$E$640,'原始数据'!$E$712,'原始数据'!$E$784,'原始数据'!$E$856)</x:f>
        <x:v>0.052</x:v>
      </x:c>
      <x:c r="F208" s="57" t="n">
        <x:f>MIN('原始数据'!$D$640,'原始数据'!$D$712,'原始数据'!$D$784,'原始数据'!$D$856)</x:f>
        <x:v>0.8906</x:v>
      </x:c>
      <x:c r="G208" s="57" t="n">
        <x:f>MAX('原始数据'!$E$640,'原始数据'!$E$712,'原始数据'!$E$784,'原始数据'!$E$856)</x:f>
        <x:v>0.064</x:v>
      </x:c>
      <x:c r="H208" s="60" t="n">
        <x:f>STDEV.P('原始数据'!$D$640,'原始数据'!$D$712,'原始数据'!$D$784,'原始数据'!$D$856)</x:f>
        <x:v>0.010238499645944237</x:v>
      </x:c>
      <x:c r="I208" s="63" t="n">
        <x:f>STDEV.P('原始数据'!$E$640,'原始数据'!$E$712,'原始数据'!$E$784,'原始数据'!$E$856)</x:f>
        <x:v>0.00894427190999916</x:v>
      </x:c>
    </x:row>
    <x:row r="209" ht="20" customHeight="1">
      <x:c r="A209" s="27" t="str">
        <x:v>HCL</x:v>
      </x:c>
      <x:c r="B209" s="30" t="str">
        <x:v>2018-01</x:v>
      </x:c>
      <x:c r="C209" s="51" t="n">
        <x:f>COUNT('原始数据'!$D$641,'原始数据'!$D$713,'原始数据'!$D$785,'原始数据'!$D$857)</x:f>
        <x:v>4</x:v>
      </x:c>
      <x:c r="D209" s="54" t="n">
        <x:f>AVERAGE('原始数据'!$D$641,'原始数据'!$D$713,'原始数据'!$D$785,'原始数据'!$D$857)</x:f>
        <x:v>0.898075</x:v>
      </x:c>
      <x:c r="E209" s="54" t="n">
        <x:f>AVERAGE('原始数据'!$E$641,'原始数据'!$E$713,'原始数据'!$E$785,'原始数据'!$E$857)</x:f>
        <x:v>0.11765</x:v>
      </x:c>
      <x:c r="F209" s="57" t="n">
        <x:f>MIN('原始数据'!$D$641,'原始数据'!$D$713,'原始数据'!$D$785,'原始数据'!$D$857)</x:f>
        <x:v>0.8762</x:v>
      </x:c>
      <x:c r="G209" s="57" t="n">
        <x:f>MAX('原始数据'!$E$641,'原始数据'!$E$713,'原始数据'!$E$785,'原始数据'!$E$857)</x:f>
        <x:v>0.1373</x:v>
      </x:c>
      <x:c r="H209" s="60" t="n">
        <x:f>STDEV.P('原始数据'!$D$641,'原始数据'!$D$713,'原始数据'!$D$785,'原始数据'!$D$857)</x:f>
        <x:v>0.0137436121525602</x:v>
      </x:c>
      <x:c r="I209" s="63" t="n">
        <x:f>STDEV.P('原始数据'!$E$641,'原始数据'!$E$713,'原始数据'!$E$785,'原始数据'!$E$857)</x:f>
        <x:v>0.0166797032347701</x:v>
      </x:c>
    </x:row>
    <x:row r="210" ht="20" customHeight="1">
      <x:c r="A210" s="27" t="str">
        <x:v>HCL</x:v>
      </x:c>
      <x:c r="B210" s="30" t="str">
        <x:v>2018-02</x:v>
      </x:c>
      <x:c r="C210" s="51" t="n">
        <x:f>COUNT('原始数据'!$D$642,'原始数据'!$D$714,'原始数据'!$D$786,'原始数据'!$D$858)</x:f>
        <x:v>4</x:v>
      </x:c>
      <x:c r="D210" s="54" t="n">
        <x:f>AVERAGE('原始数据'!$D$642,'原始数据'!$D$714,'原始数据'!$D$786,'原始数据'!$D$858)</x:f>
        <x:v>0.9252999999999999</x:v>
      </x:c>
      <x:c r="E210" s="54" t="n">
        <x:f>AVERAGE('原始数据'!$E$642,'原始数据'!$E$714,'原始数据'!$E$786,'原始数据'!$E$858)</x:f>
        <x:v>0.103425</x:v>
      </x:c>
      <x:c r="F210" s="57" t="n">
        <x:f>MIN('原始数据'!$D$642,'原始数据'!$D$714,'原始数据'!$D$786,'原始数据'!$D$858)</x:f>
        <x:v>0.9117</x:v>
      </x:c>
      <x:c r="G210" s="57" t="n">
        <x:f>MAX('原始数据'!$E$642,'原始数据'!$E$714,'原始数据'!$E$786,'原始数据'!$E$858)</x:f>
        <x:v>0.1103</x:v>
      </x:c>
      <x:c r="H210" s="60" t="n">
        <x:f>STDEV.P('原始数据'!$D$642,'原始数据'!$D$714,'原始数据'!$D$786,'原始数据'!$D$858)</x:f>
        <x:v>0.008874401388262785</x:v>
      </x:c>
      <x:c r="I210" s="63" t="n">
        <x:f>STDEV.P('原始数据'!$E$642,'原始数据'!$E$714,'原始数据'!$E$786,'原始数据'!$E$858)</x:f>
        <x:v>0.008409927169720315</x:v>
      </x:c>
    </x:row>
    <x:row r="211" ht="20" customHeight="1">
      <x:c r="A211" s="27" t="str">
        <x:v>HCL</x:v>
      </x:c>
      <x:c r="B211" s="30" t="str">
        <x:v>2018-03</x:v>
      </x:c>
      <x:c r="C211" s="51" t="n">
        <x:f>COUNT('原始数据'!$D$643,'原始数据'!$D$715,'原始数据'!$D$787,'原始数据'!$D$859)</x:f>
        <x:v>4</x:v>
      </x:c>
      <x:c r="D211" s="54" t="n">
        <x:f>AVERAGE('原始数据'!$D$643,'原始数据'!$D$715,'原始数据'!$D$787,'原始数据'!$D$859)</x:f>
        <x:v>0.91125</x:v>
      </x:c>
      <x:c r="E211" s="54" t="n">
        <x:f>AVERAGE('原始数据'!$E$643,'原始数据'!$E$715,'原始数据'!$E$787,'原始数据'!$E$859)</x:f>
        <x:v>0.079375</x:v>
      </x:c>
      <x:c r="F211" s="57" t="n">
        <x:f>MIN('原始数据'!$D$643,'原始数据'!$D$715,'原始数据'!$D$787,'原始数据'!$D$859)</x:f>
        <x:v>0.8936</x:v>
      </x:c>
      <x:c r="G211" s="57" t="n">
        <x:f>MAX('原始数据'!$E$643,'原始数据'!$E$715,'原始数据'!$E$787,'原始数据'!$E$859)</x:f>
        <x:v>0.1022</x:v>
      </x:c>
      <x:c r="H211" s="60" t="n">
        <x:f>STDEV.P('原始数据'!$D$643,'原始数据'!$D$715,'原始数据'!$D$787,'原始数据'!$D$859)</x:f>
        <x:v>0.010842163068318087</x:v>
      </x:c>
      <x:c r="I211" s="63" t="n">
        <x:f>STDEV.P('原始数据'!$E$643,'原始数据'!$E$715,'原始数据'!$E$787,'原始数据'!$E$859)</x:f>
        <x:v>0.015568297113043545</x:v>
      </x:c>
    </x:row>
    <x:row r="212" ht="20" customHeight="1">
      <x:c r="A212" s="27" t="str">
        <x:v>HCL</x:v>
      </x:c>
      <x:c r="B212" s="30" t="str">
        <x:v>2018-04</x:v>
      </x:c>
      <x:c r="C212" s="51" t="n">
        <x:f>COUNT('原始数据'!$D$644,'原始数据'!$D$716,'原始数据'!$D$788,'原始数据'!$D$860)</x:f>
        <x:v>4</x:v>
      </x:c>
      <x:c r="D212" s="54" t="n">
        <x:f>AVERAGE('原始数据'!$D$644,'原始数据'!$D$716,'原始数据'!$D$788,'原始数据'!$D$860)</x:f>
        <x:v>0.9319500000000001</x:v>
      </x:c>
      <x:c r="E212" s="54" t="n">
        <x:f>AVERAGE('原始数据'!$E$644,'原始数据'!$E$716,'原始数据'!$E$788,'原始数据'!$E$860)</x:f>
        <x:v>0.074725</x:v>
      </x:c>
      <x:c r="F212" s="57" t="n">
        <x:f>MIN('原始数据'!$D$644,'原始数据'!$D$716,'原始数据'!$D$788,'原始数据'!$D$860)</x:f>
        <x:v>0.9258</x:v>
      </x:c>
      <x:c r="G212" s="57" t="n">
        <x:f>MAX('原始数据'!$E$644,'原始数据'!$E$716,'原始数据'!$E$788,'原始数据'!$E$860)</x:f>
        <x:v>0.0783</x:v>
      </x:c>
      <x:c r="H212" s="60" t="n">
        <x:f>STDEV.P('原始数据'!$D$644,'原始数据'!$D$716,'原始数据'!$D$788,'原始数据'!$D$860)</x:f>
        <x:v>0.006050413209029592</x:v>
      </x:c>
      <x:c r="I212" s="63" t="n">
        <x:f>STDEV.P('原始数据'!$E$644,'原始数据'!$E$716,'原始数据'!$E$788,'原始数据'!$E$860)</x:f>
        <x:v>0.004368280554176895</x:v>
      </x:c>
    </x:row>
    <x:row r="213" ht="20" customHeight="1">
      <x:c r="A213" s="27" t="str">
        <x:v>HCL</x:v>
      </x:c>
      <x:c r="B213" s="30" t="str">
        <x:v>2018-05</x:v>
      </x:c>
      <x:c r="C213" s="51" t="n">
        <x:f>COUNT('原始数据'!$D$645,'原始数据'!$D$717,'原始数据'!$D$789,'原始数据'!$D$861)</x:f>
        <x:v>4</x:v>
      </x:c>
      <x:c r="D213" s="54" t="n">
        <x:f>AVERAGE('原始数据'!$D$645,'原始数据'!$D$717,'原始数据'!$D$789,'原始数据'!$D$861)</x:f>
        <x:v>0.87665</x:v>
      </x:c>
      <x:c r="E213" s="54" t="n">
        <x:f>AVERAGE('原始数据'!$E$645,'原始数据'!$E$717,'原始数据'!$E$789,'原始数据'!$E$861)</x:f>
        <x:v>0.07645</x:v>
      </x:c>
      <x:c r="F213" s="57" t="n">
        <x:f>MIN('原始数据'!$D$645,'原始数据'!$D$717,'原始数据'!$D$789,'原始数据'!$D$861)</x:f>
        <x:v>0.7175</x:v>
      </x:c>
      <x:c r="G213" s="57" t="n">
        <x:f>MAX('原始数据'!$E$645,'原始数据'!$E$717,'原始数据'!$E$789,'原始数据'!$E$861)</x:f>
        <x:v>0.0868</x:v>
      </x:c>
      <x:c r="H213" s="60" t="n">
        <x:f>STDEV.P('原始数据'!$D$645,'原始数据'!$D$717,'原始数据'!$D$789,'原始数据'!$D$861)</x:f>
        <x:v>0.09267417385658207</x:v>
      </x:c>
      <x:c r="I213" s="63" t="n">
        <x:f>STDEV.P('原始数据'!$E$645,'原始数据'!$E$717,'原始数据'!$E$789,'原始数据'!$E$861)</x:f>
        <x:v>0.00900458216687482</x:v>
      </x:c>
    </x:row>
    <x:row r="214" ht="20" customHeight="1">
      <x:c r="A214" s="27" t="str">
        <x:v>HCL</x:v>
      </x:c>
      <x:c r="B214" s="30" t="str">
        <x:v>2018-06</x:v>
      </x:c>
      <x:c r="C214" s="51" t="n">
        <x:f>COUNT('原始数据'!$D$646,'原始数据'!$D$718,'原始数据'!$D$790,'原始数据'!$D$862)</x:f>
        <x:v>4</x:v>
      </x:c>
      <x:c r="D214" s="54" t="n">
        <x:f>AVERAGE('原始数据'!$D$646,'原始数据'!$D$718,'原始数据'!$D$790,'原始数据'!$D$862)</x:f>
        <x:v>0.9018</x:v>
      </x:c>
      <x:c r="E214" s="54" t="n">
        <x:f>AVERAGE('原始数据'!$E$646,'原始数据'!$E$718,'原始数据'!$E$790,'原始数据'!$E$862)</x:f>
        <x:v>0.167375</x:v>
      </x:c>
      <x:c r="F214" s="57" t="n">
        <x:f>MIN('原始数据'!$D$646,'原始数据'!$D$718,'原始数据'!$D$790,'原始数据'!$D$862)</x:f>
        <x:v>0.8858</x:v>
      </x:c>
      <x:c r="G214" s="57" t="n">
        <x:f>MAX('原始数据'!$E$646,'原始数据'!$E$718,'原始数据'!$E$790,'原始数据'!$E$862)</x:f>
        <x:v>0.1946</x:v>
      </x:c>
      <x:c r="H214" s="60" t="n">
        <x:f>STDEV.P('原始数据'!$D$646,'原始数据'!$D$718,'原始数据'!$D$790,'原始数据'!$D$862)</x:f>
        <x:v>0.021496162448213854</x:v>
      </x:c>
      <x:c r="I214" s="63" t="n">
        <x:f>STDEV.P('原始数据'!$E$646,'原始数据'!$E$718,'原始数据'!$E$790,'原始数据'!$E$862)</x:f>
        <x:v>0.03651591262723691</x:v>
      </x:c>
    </x:row>
    <x:row r="215" ht="20" customHeight="1">
      <x:c r="A215" s="27" t="str">
        <x:v>HCL</x:v>
      </x:c>
      <x:c r="B215" s="30" t="str">
        <x:v>2018-07</x:v>
      </x:c>
      <x:c r="C215" s="51" t="n">
        <x:f>COUNT('原始数据'!$D$647,'原始数据'!$D$719,'原始数据'!$D$791,'原始数据'!$D$863)</x:f>
        <x:v>4</x:v>
      </x:c>
      <x:c r="D215" s="54" t="n">
        <x:f>AVERAGE('原始数据'!$D$647,'原始数据'!$D$719,'原始数据'!$D$791,'原始数据'!$D$863)</x:f>
        <x:v>0.87795</x:v>
      </x:c>
      <x:c r="E215" s="54" t="n">
        <x:f>AVERAGE('原始数据'!$E$647,'原始数据'!$E$719,'原始数据'!$E$791,'原始数据'!$E$863)</x:f>
        <x:v>0.1926</x:v>
      </x:c>
      <x:c r="F215" s="57" t="n">
        <x:f>MIN('原始数据'!$D$647,'原始数据'!$D$719,'原始数据'!$D$791,'原始数据'!$D$863)</x:f>
        <x:v>0.8215</x:v>
      </x:c>
      <x:c r="G215" s="57" t="n">
        <x:f>MAX('原始数据'!$E$647,'原始数据'!$E$719,'原始数据'!$E$791,'原始数据'!$E$863)</x:f>
        <x:v>0.2787</x:v>
      </x:c>
      <x:c r="H215" s="60" t="n">
        <x:f>STDEV.P('原始数据'!$D$647,'原始数据'!$D$719,'原始数据'!$D$791,'原始数据'!$D$863)</x:f>
        <x:v>0.048458048867035496</x:v>
      </x:c>
      <x:c r="I215" s="63" t="n">
        <x:f>STDEV.P('原始数据'!$E$647,'原始数据'!$E$719,'原始数据'!$E$791,'原始数据'!$E$863)</x:f>
        <x:v>0.07788783602078055</x:v>
      </x:c>
    </x:row>
    <x:row r="216" ht="20" customHeight="1">
      <x:c r="A216" s="27" t="str">
        <x:v>HCL</x:v>
      </x:c>
      <x:c r="B216" s="30" t="str">
        <x:v>2018-08</x:v>
      </x:c>
      <x:c r="C216" s="51" t="n">
        <x:f>COUNT('原始数据'!$D$648,'原始数据'!$D$720,'原始数据'!$D$792,'原始数据'!$D$864)</x:f>
        <x:v>4</x:v>
      </x:c>
      <x:c r="D216" s="54" t="n">
        <x:f>AVERAGE('原始数据'!$D$648,'原始数据'!$D$720,'原始数据'!$D$792,'原始数据'!$D$864)</x:f>
        <x:v>0.921775</x:v>
      </x:c>
      <x:c r="E216" s="54" t="n">
        <x:f>AVERAGE('原始数据'!$E$648,'原始数据'!$E$720,'原始数据'!$E$792,'原始数据'!$E$864)</x:f>
        <x:v>0.102225</x:v>
      </x:c>
      <x:c r="F216" s="57" t="n">
        <x:f>MIN('原始数据'!$D$648,'原始数据'!$D$720,'原始数据'!$D$792,'原始数据'!$D$864)</x:f>
        <x:v>0.913</x:v>
      </x:c>
      <x:c r="G216" s="57" t="n">
        <x:f>MAX('原始数据'!$E$648,'原始数据'!$E$720,'原始数据'!$E$792,'原始数据'!$E$864)</x:f>
        <x:v>0.1203</x:v>
      </x:c>
      <x:c r="H216" s="60" t="n">
        <x:f>STDEV.P('原始数据'!$D$648,'原始数据'!$D$720,'原始数据'!$D$792,'原始数据'!$D$864)</x:f>
        <x:v>0.011115838924705593</x:v>
      </x:c>
      <x:c r="I216" s="63" t="n">
        <x:f>STDEV.P('原始数据'!$E$648,'原始数据'!$E$720,'原始数据'!$E$792,'原始数据'!$E$864)</x:f>
        <x:v>0.02730278145171294</x:v>
      </x:c>
    </x:row>
    <x:row r="217" ht="20" customHeight="1">
      <x:c r="A217" s="27" t="str">
        <x:v>HCL</x:v>
      </x:c>
      <x:c r="B217" s="30" t="str">
        <x:v>2018-09</x:v>
      </x:c>
      <x:c r="C217" s="51" t="n">
        <x:f>COUNT('原始数据'!$D$649,'原始数据'!$D$721,'原始数据'!$D$793,'原始数据'!$D$865)</x:f>
        <x:v>4</x:v>
      </x:c>
      <x:c r="D217" s="54" t="n">
        <x:f>AVERAGE('原始数据'!$D$649,'原始数据'!$D$721,'原始数据'!$D$793,'原始数据'!$D$865)</x:f>
        <x:v>0.8928</x:v>
      </x:c>
      <x:c r="E217" s="54" t="n">
        <x:f>AVERAGE('原始数据'!$E$649,'原始数据'!$E$721,'原始数据'!$E$793,'原始数据'!$E$865)</x:f>
        <x:v>0.13485</x:v>
      </x:c>
      <x:c r="F217" s="57" t="n">
        <x:f>MIN('原始数据'!$D$649,'原始数据'!$D$721,'原始数据'!$D$793,'原始数据'!$D$865)</x:f>
        <x:v>0.8505</x:v>
      </x:c>
      <x:c r="G217" s="57" t="n">
        <x:f>MAX('原始数据'!$E$649,'原始数据'!$E$721,'原始数据'!$E$793,'原始数据'!$E$865)</x:f>
        <x:v>0.2052</x:v>
      </x:c>
      <x:c r="H217" s="60" t="n">
        <x:f>STDEV.P('原始数据'!$D$649,'原始数据'!$D$721,'原始数据'!$D$793,'原始数据'!$D$865)</x:f>
        <x:v>0.03637079872645086</x:v>
      </x:c>
      <x:c r="I217" s="63" t="n">
        <x:f>STDEV.P('原始数据'!$E$649,'原始数据'!$E$721,'原始数据'!$E$793,'原始数据'!$E$865)</x:f>
        <x:v>0.07068311325910878</x:v>
      </x:c>
    </x:row>
    <x:row r="218" ht="20" customHeight="1">
      <x:c r="A218" s="27" t="str">
        <x:v>HCL</x:v>
      </x:c>
      <x:c r="B218" s="30" t="str">
        <x:v>2018-10</x:v>
      </x:c>
      <x:c r="C218" s="51" t="n">
        <x:f>COUNT('原始数据'!$D$650,'原始数据'!$D$722,'原始数据'!$D$794,'原始数据'!$D$866)</x:f>
        <x:v>4</x:v>
      </x:c>
      <x:c r="D218" s="54" t="n">
        <x:f>AVERAGE('原始数据'!$D$650,'原始数据'!$D$722,'原始数据'!$D$794,'原始数据'!$D$866)</x:f>
        <x:v>0.895475</x:v>
      </x:c>
      <x:c r="E218" s="54" t="n">
        <x:f>AVERAGE('原始数据'!$E$650,'原始数据'!$E$722,'原始数据'!$E$794,'原始数据'!$E$866)</x:f>
        <x:v>0.158225</x:v>
      </x:c>
      <x:c r="F218" s="57" t="n">
        <x:f>MIN('原始数据'!$D$650,'原始数据'!$D$722,'原始数据'!$D$794,'原始数据'!$D$866)</x:f>
        <x:v>0.8028</x:v>
      </x:c>
      <x:c r="G218" s="57" t="n">
        <x:f>MAX('原始数据'!$E$650,'原始数据'!$E$722,'原始数据'!$E$794,'原始数据'!$E$866)</x:f>
        <x:v>0.3063</x:v>
      </x:c>
      <x:c r="H218" s="60" t="n">
        <x:f>STDEV.P('原始数据'!$D$650,'原始数据'!$D$722,'原始数据'!$D$794,'原始数据'!$D$866)</x:f>
        <x:v>0.06261019785146826</x:v>
      </x:c>
      <x:c r="I218" s="63" t="n">
        <x:f>STDEV.P('原始数据'!$E$650,'原始数据'!$E$722,'原始数据'!$E$794,'原始数据'!$E$866)</x:f>
        <x:v>0.10572897840705736</x:v>
      </x:c>
    </x:row>
    <x:row r="219" ht="20" customHeight="1">
      <x:c r="A219" s="27" t="str">
        <x:v>HCL</x:v>
      </x:c>
      <x:c r="B219" s="30" t="str">
        <x:v>2018-11</x:v>
      </x:c>
      <x:c r="C219" s="51" t="n">
        <x:f>COUNT('原始数据'!$D$651,'原始数据'!$D$723,'原始数据'!$D$795,'原始数据'!$D$867)</x:f>
        <x:v>4</x:v>
      </x:c>
      <x:c r="D219" s="54" t="n">
        <x:f>AVERAGE('原始数据'!$D$651,'原始数据'!$D$723,'原始数据'!$D$795,'原始数据'!$D$867)</x:f>
        <x:v>0.9494250000000001</x:v>
      </x:c>
      <x:c r="E219" s="54" t="n">
        <x:f>AVERAGE('原始数据'!$E$651,'原始数据'!$E$723,'原始数据'!$E$795,'原始数据'!$E$867)</x:f>
        <x:v>0.06185</x:v>
      </x:c>
      <x:c r="F219" s="57" t="n">
        <x:f>MIN('原始数据'!$D$651,'原始数据'!$D$723,'原始数据'!$D$795,'原始数据'!$D$867)</x:f>
        <x:v>0.92</x:v>
      </x:c>
      <x:c r="G219" s="57" t="n">
        <x:f>MAX('原始数据'!$E$651,'原始数据'!$E$723,'原始数据'!$E$795,'原始数据'!$E$867)</x:f>
        <x:v>0.1185</x:v>
      </x:c>
      <x:c r="H219" s="60" t="n">
        <x:f>STDEV.P('原始数据'!$D$651,'原始数据'!$D$723,'原始数据'!$D$795,'原始数据'!$D$867)</x:f>
        <x:v>0.01941396082719856</x:v>
      </x:c>
      <x:c r="I219" s="63" t="n">
        <x:f>STDEV.P('原始数据'!$E$651,'原始数据'!$E$723,'原始数据'!$E$795,'原始数据'!$E$867)</x:f>
        <x:v>0.03659251972739783</x:v>
      </x:c>
    </x:row>
    <x:row r="220" ht="20" customHeight="1">
      <x:c r="A220" s="27" t="str">
        <x:v>HCL</x:v>
      </x:c>
      <x:c r="B220" s="30" t="str">
        <x:v>2018-12</x:v>
      </x:c>
      <x:c r="C220" s="51" t="n">
        <x:f>COUNT('原始数据'!$D$652,'原始数据'!$D$724,'原始数据'!$D$796,'原始数据'!$D$868)</x:f>
        <x:v>4</x:v>
      </x:c>
      <x:c r="D220" s="54" t="n">
        <x:f>AVERAGE('原始数据'!$D$652,'原始数据'!$D$724,'原始数据'!$D$796,'原始数据'!$D$868)</x:f>
        <x:v>0.9233</x:v>
      </x:c>
      <x:c r="E220" s="54" t="n">
        <x:f>AVERAGE('原始数据'!$E$652,'原始数据'!$E$724,'原始数据'!$E$796,'原始数据'!$E$868)</x:f>
        <x:v>0.10107500000000001</x:v>
      </x:c>
      <x:c r="F220" s="57" t="n">
        <x:f>MIN('原始数据'!$D$652,'原始数据'!$D$724,'原始数据'!$D$796,'原始数据'!$D$868)</x:f>
        <x:v>0.773</x:v>
      </x:c>
      <x:c r="G220" s="57" t="n">
        <x:f>MAX('原始数据'!$E$652,'原始数据'!$E$724,'原始数据'!$E$796,'原始数据'!$E$868)</x:f>
        <x:v>0.3472</x:v>
      </x:c>
      <x:c r="H220" s="60" t="n">
        <x:f>STDEV.P('原始数据'!$D$652,'原始数据'!$D$724,'原始数据'!$D$796,'原始数据'!$D$868)</x:f>
        <x:v>0.08695958831549282</x:v>
      </x:c>
      <x:c r="I220" s="63" t="n">
        <x:f>STDEV.P('原始数据'!$E$652,'原始数据'!$E$724,'原始数据'!$E$796,'原始数据'!$E$868)</x:f>
        <x:v>0.1424931818544312</x:v>
      </x:c>
    </x:row>
    <x:row r="221" ht="20" customHeight="1">
      <x:c r="A221" s="27" t="str">
        <x:v>HCL-IDS</x:v>
      </x:c>
      <x:c r="B221" s="30" t="str">
        <x:v>2013-01</x:v>
      </x:c>
      <x:c r="C221" s="51" t="n">
        <x:f>COUNT('原始数据'!$D$869,'原始数据'!$D$941,'原始数据'!$D$1013,'原始数据'!$D$1085)</x:f>
        <x:v>4</x:v>
      </x:c>
      <x:c r="D221" s="54" t="n">
        <x:f>AVERAGE('原始数据'!$D$869,'原始数据'!$D$941,'原始数据'!$D$1013,'原始数据'!$D$1085)</x:f>
        <x:v>0.9549</x:v>
      </x:c>
      <x:c r="E221" s="54" t="n">
        <x:f>AVERAGE('原始数据'!$E$869,'原始数据'!$E$941,'原始数据'!$E$1013,'原始数据'!$E$1085)</x:f>
        <x:v>0.026</x:v>
      </x:c>
      <x:c r="F221" s="57" t="n">
        <x:f>MIN('原始数据'!$D$869,'原始数据'!$D$941,'原始数据'!$D$1013,'原始数据'!$D$1085)</x:f>
        <x:v>0.9549</x:v>
      </x:c>
      <x:c r="G221" s="57" t="n">
        <x:f>MAX('原始数据'!$E$869,'原始数据'!$E$941,'原始数据'!$E$1013,'原始数据'!$E$1085)</x:f>
        <x:v>0.026</x:v>
      </x:c>
      <x:c r="H221" s="60" t="n">
        <x:f>STDEV.P('原始数据'!$D$869,'原始数据'!$D$941,'原始数据'!$D$1013,'原始数据'!$D$1085)</x:f>
        <x:v>0</x:v>
      </x:c>
      <x:c r="I221" s="63" t="n">
        <x:f>STDEV.P('原始数据'!$E$869,'原始数据'!$E$941,'原始数据'!$E$1013,'原始数据'!$E$1085)</x:f>
        <x:v>0</x:v>
      </x:c>
    </x:row>
    <x:row r="222" ht="20" customHeight="1">
      <x:c r="A222" s="27" t="str">
        <x:v>HCL-IDS</x:v>
      </x:c>
      <x:c r="B222" s="30" t="str">
        <x:v>2013-02</x:v>
      </x:c>
      <x:c r="C222" s="51" t="n">
        <x:f>COUNT('原始数据'!$D$870,'原始数据'!$D$942,'原始数据'!$D$1014,'原始数据'!$D$1086)</x:f>
        <x:v>4</x:v>
      </x:c>
      <x:c r="D222" s="54" t="n">
        <x:f>AVERAGE('原始数据'!$D$870,'原始数据'!$D$942,'原始数据'!$D$1014,'原始数据'!$D$1086)</x:f>
        <x:v>0.907275</x:v>
      </x:c>
      <x:c r="E222" s="54" t="n">
        <x:f>AVERAGE('原始数据'!$E$870,'原始数据'!$E$942,'原始数据'!$E$1014,'原始数据'!$E$1086)</x:f>
        <x:v>0.14765</x:v>
      </x:c>
      <x:c r="F222" s="57" t="n">
        <x:f>MIN('原始数据'!$D$870,'原始数据'!$D$942,'原始数据'!$D$1014,'原始数据'!$D$1086)</x:f>
        <x:v>0.9033</x:v>
      </x:c>
      <x:c r="G222" s="57" t="n">
        <x:f>MAX('原始数据'!$E$870,'原始数据'!$E$942,'原始数据'!$E$1014,'原始数据'!$E$1086)</x:f>
        <x:v>0.1531</x:v>
      </x:c>
      <x:c r="H222" s="60" t="n">
        <x:f>STDEV.P('原始数据'!$D$870,'原始数据'!$D$942,'原始数据'!$D$1014,'原始数据'!$D$1086)</x:f>
        <x:v>0.003105941886127298</x:v>
      </x:c>
      <x:c r="I222" s="63" t="n">
        <x:f>STDEV.P('原始数据'!$E$870,'原始数据'!$E$942,'原始数据'!$E$1014,'原始数据'!$E$1086)</x:f>
        <x:v>0.004623040125285527</x:v>
      </x:c>
    </x:row>
    <x:row r="223" ht="20" customHeight="1">
      <x:c r="A223" s="27" t="str">
        <x:v>HCL-IDS</x:v>
      </x:c>
      <x:c r="B223" s="30" t="str">
        <x:v>2013-03</x:v>
      </x:c>
      <x:c r="C223" s="51" t="n">
        <x:f>COUNT('原始数据'!$D$871,'原始数据'!$D$943,'原始数据'!$D$1015,'原始数据'!$D$1087)</x:f>
        <x:v>4</x:v>
      </x:c>
      <x:c r="D223" s="54" t="n">
        <x:f>AVERAGE('原始数据'!$D$871,'原始数据'!$D$943,'原始数据'!$D$1015,'原始数据'!$D$1087)</x:f>
        <x:v>0.91425</x:v>
      </x:c>
      <x:c r="E223" s="54" t="n">
        <x:f>AVERAGE('原始数据'!$E$871,'原始数据'!$E$943,'原始数据'!$E$1015,'原始数据'!$E$1087)</x:f>
        <x:v>0.11427499999999999</x:v>
      </x:c>
      <x:c r="F223" s="57" t="n">
        <x:f>MIN('原始数据'!$D$871,'原始数据'!$D$943,'原始数据'!$D$1015,'原始数据'!$D$1087)</x:f>
        <x:v>0.9128</x:v>
      </x:c>
      <x:c r="G223" s="57" t="n">
        <x:f>MAX('原始数据'!$E$871,'原始数据'!$E$943,'原始数据'!$E$1015,'原始数据'!$E$1087)</x:f>
        <x:v>0.1306</x:v>
      </x:c>
      <x:c r="H223" s="60" t="n">
        <x:f>STDEV.P('原始数据'!$D$871,'原始数据'!$D$943,'原始数据'!$D$1015,'原始数据'!$D$1087)</x:f>
        <x:v>0.0013067134345372282</x:v>
      </x:c>
      <x:c r="I223" s="63" t="n">
        <x:f>STDEV.P('原始数据'!$E$871,'原始数据'!$E$943,'原始数据'!$E$1015,'原始数据'!$E$1087)</x:f>
        <x:v>0.01335278528996853</x:v>
      </x:c>
    </x:row>
    <x:row r="224" ht="20" customHeight="1">
      <x:c r="A224" s="27" t="str">
        <x:v>HCL-IDS</x:v>
      </x:c>
      <x:c r="B224" s="30" t="str">
        <x:v>2013-04</x:v>
      </x:c>
      <x:c r="C224" s="51" t="n">
        <x:f>COUNT('原始数据'!$D$872,'原始数据'!$D$944,'原始数据'!$D$1016,'原始数据'!$D$1088)</x:f>
        <x:v>4</x:v>
      </x:c>
      <x:c r="D224" s="54" t="n">
        <x:f>AVERAGE('原始数据'!$D$872,'原始数据'!$D$944,'原始数据'!$D$1016,'原始数据'!$D$1088)</x:f>
        <x:v>0.917725</x:v>
      </x:c>
      <x:c r="E224" s="54" t="n">
        <x:f>AVERAGE('原始数据'!$E$872,'原始数据'!$E$944,'原始数据'!$E$1016,'原始数据'!$E$1088)</x:f>
        <x:v>0.14395</x:v>
      </x:c>
      <x:c r="F224" s="57" t="n">
        <x:f>MIN('原始数据'!$D$872,'原始数据'!$D$944,'原始数据'!$D$1016,'原始数据'!$D$1088)</x:f>
        <x:v>0.9001</x:v>
      </x:c>
      <x:c r="G224" s="57" t="n">
        <x:f>MAX('原始数据'!$E$872,'原始数据'!$E$944,'原始数据'!$E$1016,'原始数据'!$E$1088)</x:f>
        <x:v>0.1774</x:v>
      </x:c>
      <x:c r="H224" s="60" t="n">
        <x:f>STDEV.P('原始数据'!$D$872,'原始数据'!$D$944,'原始数据'!$D$1016,'原始数据'!$D$1088)</x:f>
        <x:v>0.014256292470344436</x:v>
      </x:c>
      <x:c r="I224" s="63" t="n">
        <x:f>STDEV.P('原始数据'!$E$872,'原始数据'!$E$944,'原始数据'!$E$1016,'原始数据'!$E$1088)</x:f>
        <x:v>0.029023826418995827</x:v>
      </x:c>
    </x:row>
    <x:row r="225" ht="20" customHeight="1">
      <x:c r="A225" s="27" t="str">
        <x:v>HCL-IDS</x:v>
      </x:c>
      <x:c r="B225" s="30" t="str">
        <x:v>2013-05</x:v>
      </x:c>
      <x:c r="C225" s="51" t="n">
        <x:f>COUNT('原始数据'!$D$873,'原始数据'!$D$945,'原始数据'!$D$1017,'原始数据'!$D$1089)</x:f>
        <x:v>4</x:v>
      </x:c>
      <x:c r="D225" s="54" t="n">
        <x:f>AVERAGE('原始数据'!$D$873,'原始数据'!$D$945,'原始数据'!$D$1017,'原始数据'!$D$1089)</x:f>
        <x:v>0.907475</x:v>
      </x:c>
      <x:c r="E225" s="54" t="n">
        <x:f>AVERAGE('原始数据'!$E$873,'原始数据'!$E$945,'原始数据'!$E$1017,'原始数据'!$E$1089)</x:f>
        <x:v>0.15095</x:v>
      </x:c>
      <x:c r="F225" s="57" t="n">
        <x:f>MIN('原始数据'!$D$873,'原始数据'!$D$945,'原始数据'!$D$1017,'原始数据'!$D$1089)</x:f>
        <x:v>0.8907</x:v>
      </x:c>
      <x:c r="G225" s="57" t="n">
        <x:f>MAX('原始数据'!$E$873,'原始数据'!$E$945,'原始数据'!$E$1017,'原始数据'!$E$1089)</x:f>
        <x:v>0.1888</x:v>
      </x:c>
      <x:c r="H225" s="60" t="n">
        <x:f>STDEV.P('原始数据'!$D$873,'原始数据'!$D$945,'原始数据'!$D$1017,'原始数据'!$D$1089)</x:f>
        <x:v>0.013209348015704631</x:v>
      </x:c>
      <x:c r="I225" s="63" t="n">
        <x:f>STDEV.P('原始数据'!$E$873,'原始数据'!$E$945,'原始数据'!$E$1017,'原始数据'!$E$1089)</x:f>
        <x:v>0.02689261050920866</x:v>
      </x:c>
    </x:row>
    <x:row r="226" ht="20" customHeight="1">
      <x:c r="A226" s="27" t="str">
        <x:v>HCL-IDS</x:v>
      </x:c>
      <x:c r="B226" s="30" t="str">
        <x:v>2013-06</x:v>
      </x:c>
      <x:c r="C226" s="51" t="n">
        <x:f>COUNT('原始数据'!$D$874,'原始数据'!$D$946,'原始数据'!$D$1018,'原始数据'!$D$1090)</x:f>
        <x:v>4</x:v>
      </x:c>
      <x:c r="D226" s="54" t="n">
        <x:f>AVERAGE('原始数据'!$D$874,'原始数据'!$D$946,'原始数据'!$D$1018,'原始数据'!$D$1090)</x:f>
        <x:v>0.918925</x:v>
      </x:c>
      <x:c r="E226" s="54" t="n">
        <x:f>AVERAGE('原始数据'!$E$874,'原始数据'!$E$946,'原始数据'!$E$1018,'原始数据'!$E$1090)</x:f>
        <x:v>0.123525</x:v>
      </x:c>
      <x:c r="F226" s="57" t="n">
        <x:f>MIN('原始数据'!$D$874,'原始数据'!$D$946,'原始数据'!$D$1018,'原始数据'!$D$1090)</x:f>
        <x:v>0.9088</x:v>
      </x:c>
      <x:c r="G226" s="57" t="n">
        <x:f>MAX('原始数据'!$E$874,'原始数据'!$E$946,'原始数据'!$E$1018,'原始数据'!$E$1090)</x:f>
        <x:v>0.145</x:v>
      </x:c>
      <x:c r="H226" s="60" t="n">
        <x:f>STDEV.P('原始数据'!$D$874,'原始数据'!$D$946,'原始数据'!$D$1018,'原始数据'!$D$1090)</x:f>
        <x:v>0.006253948752588206</x:v>
      </x:c>
      <x:c r="I226" s="63" t="n">
        <x:f>STDEV.P('原始数据'!$E$874,'原始数据'!$E$946,'原始数据'!$E$1018,'原始数据'!$E$1090)</x:f>
        <x:v>0.01280534556347465</x:v>
      </x:c>
    </x:row>
    <x:row r="227" ht="20" customHeight="1">
      <x:c r="A227" s="27" t="str">
        <x:v>HCL-IDS</x:v>
      </x:c>
      <x:c r="B227" s="30" t="str">
        <x:v>2013-07</x:v>
      </x:c>
      <x:c r="C227" s="51" t="n">
        <x:f>COUNT('原始数据'!$D$875,'原始数据'!$D$947,'原始数据'!$D$1019,'原始数据'!$D$1091)</x:f>
        <x:v>4</x:v>
      </x:c>
      <x:c r="D227" s="54" t="n">
        <x:f>AVERAGE('原始数据'!$D$875,'原始数据'!$D$947,'原始数据'!$D$1019,'原始数据'!$D$1091)</x:f>
        <x:v>0.925875</x:v>
      </x:c>
      <x:c r="E227" s="54" t="n">
        <x:f>AVERAGE('原始数据'!$E$875,'原始数据'!$E$947,'原始数据'!$E$1019,'原始数据'!$E$1091)</x:f>
        <x:v>0.10475000000000001</x:v>
      </x:c>
      <x:c r="F227" s="57" t="n">
        <x:f>MIN('原始数据'!$D$875,'原始数据'!$D$947,'原始数据'!$D$1019,'原始数据'!$D$1091)</x:f>
        <x:v>0.9121</x:v>
      </x:c>
      <x:c r="G227" s="57" t="n">
        <x:f>MAX('原始数据'!$E$875,'原始数据'!$E$947,'原始数据'!$E$1019,'原始数据'!$E$1091)</x:f>
        <x:v>0.1186</x:v>
      </x:c>
      <x:c r="H227" s="60" t="n">
        <x:f>STDEV.P('原始数据'!$D$875,'原始数据'!$D$947,'原始数据'!$D$1019,'原始数据'!$D$1091)</x:f>
        <x:v>0.00816773377382001</x:v>
      </x:c>
      <x:c r="I227" s="63" t="n">
        <x:f>STDEV.P('原始数据'!$E$875,'原始数据'!$E$947,'原始数据'!$E$1019,'原始数据'!$E$1091)</x:f>
        <x:v>0.011341186004999655</x:v>
      </x:c>
    </x:row>
    <x:row r="228" ht="20" customHeight="1">
      <x:c r="A228" s="27" t="str">
        <x:v>HCL-IDS</x:v>
      </x:c>
      <x:c r="B228" s="30" t="str">
        <x:v>2013-08</x:v>
      </x:c>
      <x:c r="C228" s="51" t="n">
        <x:f>COUNT('原始数据'!$D$876,'原始数据'!$D$948,'原始数据'!$D$1020,'原始数据'!$D$1092)</x:f>
        <x:v>4</x:v>
      </x:c>
      <x:c r="D228" s="54" t="n">
        <x:f>AVERAGE('原始数据'!$D$876,'原始数据'!$D$948,'原始数据'!$D$1020,'原始数据'!$D$1092)</x:f>
        <x:v>0.9259</x:v>
      </x:c>
      <x:c r="E228" s="54" t="n">
        <x:f>AVERAGE('原始数据'!$E$876,'原始数据'!$E$948,'原始数据'!$E$1020,'原始数据'!$E$1092)</x:f>
        <x:v>0.108475</x:v>
      </x:c>
      <x:c r="F228" s="57" t="n">
        <x:f>MIN('原始数据'!$D$876,'原始数据'!$D$948,'原始数据'!$D$1020,'原始数据'!$D$1092)</x:f>
        <x:v>0.9111</x:v>
      </x:c>
      <x:c r="G228" s="57" t="n">
        <x:f>MAX('原始数据'!$E$876,'原始数据'!$E$948,'原始数据'!$E$1020,'原始数据'!$E$1092)</x:f>
        <x:v>0.1322</x:v>
      </x:c>
      <x:c r="H228" s="60" t="n">
        <x:f>STDEV.P('原始数据'!$D$876,'原始数据'!$D$948,'原始数据'!$D$1020,'原始数据'!$D$1092)</x:f>
        <x:v>0.00883742043811427</x:v>
      </x:c>
      <x:c r="I228" s="63" t="n">
        <x:f>STDEV.P('原始数据'!$E$876,'原始数据'!$E$948,'原始数据'!$E$1020,'原始数据'!$E$1092)</x:f>
        <x:v>0.01634952216427135</x:v>
      </x:c>
    </x:row>
    <x:row r="229" ht="20" customHeight="1">
      <x:c r="A229" s="27" t="str">
        <x:v>HCL-IDS</x:v>
      </x:c>
      <x:c r="B229" s="30" t="str">
        <x:v>2013-09</x:v>
      </x:c>
      <x:c r="C229" s="51" t="n">
        <x:f>COUNT('原始数据'!$D$877,'原始数据'!$D$949,'原始数据'!$D$1021,'原始数据'!$D$1093)</x:f>
        <x:v>4</x:v>
      </x:c>
      <x:c r="D229" s="54" t="n">
        <x:f>AVERAGE('原始数据'!$D$877,'原始数据'!$D$949,'原始数据'!$D$1021,'原始数据'!$D$1093)</x:f>
        <x:v>0.884825</x:v>
      </x:c>
      <x:c r="E229" s="54" t="n">
        <x:f>AVERAGE('原始数据'!$E$877,'原始数据'!$E$949,'原始数据'!$E$1021,'原始数据'!$E$1093)</x:f>
        <x:v>0.1665</x:v>
      </x:c>
      <x:c r="F229" s="57" t="n">
        <x:f>MIN('原始数据'!$D$877,'原始数据'!$D$949,'原始数据'!$D$1021,'原始数据'!$D$1093)</x:f>
        <x:v>0.8804</x:v>
      </x:c>
      <x:c r="G229" s="57" t="n">
        <x:f>MAX('原始数据'!$E$877,'原始数据'!$E$949,'原始数据'!$E$1021,'原始数据'!$E$1093)</x:f>
        <x:v>0.174</x:v>
      </x:c>
      <x:c r="H229" s="60" t="n">
        <x:f>STDEV.P('原始数据'!$D$877,'原始数据'!$D$949,'原始数据'!$D$1021,'原始数据'!$D$1093)</x:f>
        <x:v>0.0028621451745150907</x:v>
      </x:c>
      <x:c r="I229" s="63" t="n">
        <x:f>STDEV.P('原始数据'!$E$877,'原始数据'!$E$949,'原始数据'!$E$1021,'原始数据'!$E$1093)</x:f>
        <x:v>0.005172040216394295</x:v>
      </x:c>
    </x:row>
    <x:row r="230" ht="20" customHeight="1">
      <x:c r="A230" s="27" t="str">
        <x:v>HCL-IDS</x:v>
      </x:c>
      <x:c r="B230" s="30" t="str">
        <x:v>2013-10</x:v>
      </x:c>
      <x:c r="C230" s="51" t="n">
        <x:f>COUNT('原始数据'!$D$878,'原始数据'!$D$950,'原始数据'!$D$1022,'原始数据'!$D$1094)</x:f>
        <x:v>4</x:v>
      </x:c>
      <x:c r="D230" s="54" t="n">
        <x:f>AVERAGE('原始数据'!$D$878,'原始数据'!$D$950,'原始数据'!$D$1022,'原始数据'!$D$1094)</x:f>
        <x:v>0.8863749999999999</x:v>
      </x:c>
      <x:c r="E230" s="54" t="n">
        <x:f>AVERAGE('原始数据'!$E$878,'原始数据'!$E$950,'原始数据'!$E$1022,'原始数据'!$E$1094)</x:f>
        <x:v>0.1588</x:v>
      </x:c>
      <x:c r="F230" s="57" t="n">
        <x:f>MIN('原始数据'!$D$878,'原始数据'!$D$950,'原始数据'!$D$1022,'原始数据'!$D$1094)</x:f>
        <x:v>0.859</x:v>
      </x:c>
      <x:c r="G230" s="57" t="n">
        <x:f>MAX('原始数据'!$E$878,'原始数据'!$E$950,'原始数据'!$E$1022,'原始数据'!$E$1094)</x:f>
        <x:v>0.1884</x:v>
      </x:c>
      <x:c r="H230" s="60" t="n">
        <x:f>STDEV.P('原始数据'!$D$878,'原始数据'!$D$950,'原始数据'!$D$1022,'原始数据'!$D$1094)</x:f>
        <x:v>0.016753264607234034</x:v>
      </x:c>
      <x:c r="I230" s="63" t="n">
        <x:f>STDEV.P('原始数据'!$E$878,'原始数据'!$E$950,'原始数据'!$E$1022,'原始数据'!$E$1094)</x:f>
        <x:v>0.023705590058043277</x:v>
      </x:c>
    </x:row>
    <x:row r="231" ht="20" customHeight="1">
      <x:c r="A231" s="27" t="str">
        <x:v>HCL-IDS</x:v>
      </x:c>
      <x:c r="B231" s="30" t="str">
        <x:v>2013-11</x:v>
      </x:c>
      <x:c r="C231" s="51" t="n">
        <x:f>COUNT('原始数据'!$D$879,'原始数据'!$D$951,'原始数据'!$D$1023,'原始数据'!$D$1095)</x:f>
        <x:v>4</x:v>
      </x:c>
      <x:c r="D231" s="54" t="n">
        <x:f>AVERAGE('原始数据'!$D$879,'原始数据'!$D$951,'原始数据'!$D$1023,'原始数据'!$D$1095)</x:f>
        <x:v>0.87945</x:v>
      </x:c>
      <x:c r="E231" s="54" t="n">
        <x:f>AVERAGE('原始数据'!$E$879,'原始数据'!$E$951,'原始数据'!$E$1023,'原始数据'!$E$1095)</x:f>
        <x:v>0.18637499999999999</x:v>
      </x:c>
      <x:c r="F231" s="57" t="n">
        <x:f>MIN('原始数据'!$D$879,'原始数据'!$D$951,'原始数据'!$D$1023,'原始数据'!$D$1095)</x:f>
        <x:v>0.8641</x:v>
      </x:c>
      <x:c r="G231" s="57" t="n">
        <x:f>MAX('原始数据'!$E$879,'原始数据'!$E$951,'原始数据'!$E$1023,'原始数据'!$E$1095)</x:f>
        <x:v>0.2162</x:v>
      </x:c>
      <x:c r="H231" s="60" t="n">
        <x:f>STDEV.P('原始数据'!$D$879,'原始数据'!$D$951,'原始数据'!$D$1023,'原始数据'!$D$1095)</x:f>
        <x:v>0.01112216255950252</x:v>
      </x:c>
      <x:c r="I231" s="63" t="n">
        <x:f>STDEV.P('原始数据'!$E$879,'原始数据'!$E$951,'原始数据'!$E$1023,'原始数据'!$E$1095)</x:f>
        <x:v>0.021562278984374548</x:v>
      </x:c>
    </x:row>
    <x:row r="232" ht="20" customHeight="1">
      <x:c r="A232" s="27" t="str">
        <x:v>HCL-IDS</x:v>
      </x:c>
      <x:c r="B232" s="30" t="str">
        <x:v>2013-12</x:v>
      </x:c>
      <x:c r="C232" s="51" t="n">
        <x:f>COUNT('原始数据'!$D$880,'原始数据'!$D$952,'原始数据'!$D$1024,'原始数据'!$D$1096)</x:f>
        <x:v>4</x:v>
      </x:c>
      <x:c r="D232" s="54" t="n">
        <x:f>AVERAGE('原始数据'!$D$880,'原始数据'!$D$952,'原始数据'!$D$1024,'原始数据'!$D$1096)</x:f>
        <x:v>0.9104249999999999</x:v>
      </x:c>
      <x:c r="E232" s="54" t="n">
        <x:f>AVERAGE('原始数据'!$E$880,'原始数据'!$E$952,'原始数据'!$E$1024,'原始数据'!$E$1096)</x:f>
        <x:v>0.1393</x:v>
      </x:c>
      <x:c r="F232" s="57" t="n">
        <x:f>MIN('原始数据'!$D$880,'原始数据'!$D$952,'原始数据'!$D$1024,'原始数据'!$D$1096)</x:f>
        <x:v>0.8218</x:v>
      </x:c>
      <x:c r="G232" s="57" t="n">
        <x:f>MAX('原始数据'!$E$880,'原始数据'!$E$952,'原始数据'!$E$1024,'原始数据'!$E$1096)</x:f>
        <x:v>0.2886</x:v>
      </x:c>
      <x:c r="H232" s="60" t="n">
        <x:f>STDEV.P('原始数据'!$D$880,'原始数据'!$D$952,'原始数据'!$D$1024,'原始数据'!$D$1096)</x:f>
        <x:v>0.05124531076108331</x:v>
      </x:c>
      <x:c r="I232" s="63" t="n">
        <x:f>STDEV.P('原始数据'!$E$880,'原始数据'!$E$952,'原始数据'!$E$1024,'原始数据'!$E$1096)</x:f>
        <x:v>0.08712536943967585</x:v>
      </x:c>
    </x:row>
    <x:row r="233" ht="20" customHeight="1">
      <x:c r="A233" s="27" t="str">
        <x:v>HCL-IDS</x:v>
      </x:c>
      <x:c r="B233" s="30" t="str">
        <x:v>2014-01</x:v>
      </x:c>
      <x:c r="C233" s="51" t="n">
        <x:f>COUNT('原始数据'!$D$881,'原始数据'!$D$953,'原始数据'!$D$1025,'原始数据'!$D$1097)</x:f>
        <x:v>4</x:v>
      </x:c>
      <x:c r="D233" s="54" t="n">
        <x:f>AVERAGE('原始数据'!$D$881,'原始数据'!$D$953,'原始数据'!$D$1025,'原始数据'!$D$1097)</x:f>
        <x:v>0.8654999999999999</x:v>
      </x:c>
      <x:c r="E233" s="54" t="n">
        <x:f>AVERAGE('原始数据'!$E$881,'原始数据'!$E$953,'原始数据'!$E$1025,'原始数据'!$E$1097)</x:f>
        <x:v>0.203325</x:v>
      </x:c>
      <x:c r="F233" s="57" t="n">
        <x:f>MIN('原始数据'!$D$881,'原始数据'!$D$953,'原始数据'!$D$1025,'原始数据'!$D$1097)</x:f>
        <x:v>0.833</x:v>
      </x:c>
      <x:c r="G233" s="57" t="n">
        <x:f>MAX('原始数据'!$E$881,'原始数据'!$E$953,'原始数据'!$E$1025,'原始数据'!$E$1097)</x:f>
        <x:v>0.2535</x:v>
      </x:c>
      <x:c r="H233" s="60" t="n">
        <x:f>STDEV.P('原始数据'!$D$881,'原始数据'!$D$953,'原始数据'!$D$1025,'原始数据'!$D$1097)</x:f>
        <x:v>0.03086267972811174</x:v>
      </x:c>
      <x:c r="I233" s="63" t="n">
        <x:f>STDEV.P('原始数据'!$E$881,'原始数据'!$E$953,'原始数据'!$E$1025,'原始数据'!$E$1097)</x:f>
        <x:v>0.04920144179797986</x:v>
      </x:c>
    </x:row>
    <x:row r="234" ht="20" customHeight="1">
      <x:c r="A234" s="27" t="str">
        <x:v>HCL-IDS</x:v>
      </x:c>
      <x:c r="B234" s="30" t="str">
        <x:v>2014-02</x:v>
      </x:c>
      <x:c r="C234" s="51" t="n">
        <x:f>COUNT('原始数据'!$D$882,'原始数据'!$D$954,'原始数据'!$D$1026,'原始数据'!$D$1098)</x:f>
        <x:v>4</x:v>
      </x:c>
      <x:c r="D234" s="54" t="n">
        <x:f>AVERAGE('原始数据'!$D$882,'原始数据'!$D$954,'原始数据'!$D$1026,'原始数据'!$D$1098)</x:f>
        <x:v>0.92745</x:v>
      </x:c>
      <x:c r="E234" s="54" t="n">
        <x:f>AVERAGE('原始数据'!$E$882,'原始数据'!$E$954,'原始数据'!$E$1026,'原始数据'!$E$1098)</x:f>
        <x:v>0.10555</x:v>
      </x:c>
      <x:c r="F234" s="57" t="n">
        <x:f>MIN('原始数据'!$D$882,'原始数据'!$D$954,'原始数据'!$D$1026,'原始数据'!$D$1098)</x:f>
        <x:v>0.9118</x:v>
      </x:c>
      <x:c r="G234" s="57" t="n">
        <x:f>MAX('原始数据'!$E$882,'原始数据'!$E$954,'原始数据'!$E$1026,'原始数据'!$E$1098)</x:f>
        <x:v>0.1232</x:v>
      </x:c>
      <x:c r="H234" s="60" t="n">
        <x:f>STDEV.P('原始数据'!$D$882,'原始数据'!$D$954,'原始数据'!$D$1026,'原始数据'!$D$1098)</x:f>
        <x:v>0.009400664870103595</x:v>
      </x:c>
      <x:c r="I234" s="63" t="n">
        <x:f>STDEV.P('原始数据'!$E$882,'原始数据'!$E$954,'原始数据'!$E$1026,'原始数据'!$E$1098)</x:f>
        <x:v>0.015418414315356817</x:v>
      </x:c>
    </x:row>
    <x:row r="235" ht="20" customHeight="1">
      <x:c r="A235" s="27" t="str">
        <x:v>HCL-IDS</x:v>
      </x:c>
      <x:c r="B235" s="30" t="str">
        <x:v>2014-03</x:v>
      </x:c>
      <x:c r="C235" s="51" t="n">
        <x:f>COUNT('原始数据'!$D$883,'原始数据'!$D$955,'原始数据'!$D$1027,'原始数据'!$D$1099)</x:f>
        <x:v>4</x:v>
      </x:c>
      <x:c r="D235" s="54" t="n">
        <x:f>AVERAGE('原始数据'!$D$883,'原始数据'!$D$955,'原始数据'!$D$1027,'原始数据'!$D$1099)</x:f>
        <x:v>0.8923500000000001</x:v>
      </x:c>
      <x:c r="E235" s="54" t="n">
        <x:f>AVERAGE('原始数据'!$E$883,'原始数据'!$E$955,'原始数据'!$E$1027,'原始数据'!$E$1099)</x:f>
        <x:v>0.15485</x:v>
      </x:c>
      <x:c r="F235" s="57" t="n">
        <x:f>MIN('原始数据'!$D$883,'原始数据'!$D$955,'原始数据'!$D$1027,'原始数据'!$D$1099)</x:f>
        <x:v>0.855</x:v>
      </x:c>
      <x:c r="G235" s="57" t="n">
        <x:f>MAX('原始数据'!$E$883,'原始数据'!$E$955,'原始数据'!$E$1027,'原始数据'!$E$1099)</x:f>
        <x:v>0.2065</x:v>
      </x:c>
      <x:c r="H235" s="60" t="n">
        <x:f>STDEV.P('原始数据'!$D$883,'原始数据'!$D$955,'原始数据'!$D$1027,'原始数据'!$D$1099)</x:f>
        <x:v>0.023974204887753838</x:v>
      </x:c>
      <x:c r="I235" s="63" t="n">
        <x:f>STDEV.P('原始数据'!$E$883,'原始数据'!$E$955,'原始数据'!$E$1027,'原始数据'!$E$1099)</x:f>
        <x:v>0.04141452040045858</x:v>
      </x:c>
    </x:row>
    <x:row r="236" ht="20" customHeight="1">
      <x:c r="A236" s="27" t="str">
        <x:v>HCL-IDS</x:v>
      </x:c>
      <x:c r="B236" s="30" t="str">
        <x:v>2014-04</x:v>
      </x:c>
      <x:c r="C236" s="51" t="n">
        <x:f>COUNT('原始数据'!$D$884,'原始数据'!$D$956,'原始数据'!$D$1028,'原始数据'!$D$1100)</x:f>
        <x:v>4</x:v>
      </x:c>
      <x:c r="D236" s="54" t="n">
        <x:f>AVERAGE('原始数据'!$D$884,'原始数据'!$D$956,'原始数据'!$D$1028,'原始数据'!$D$1100)</x:f>
        <x:v>0.8687000000000001</x:v>
      </x:c>
      <x:c r="E236" s="54" t="n">
        <x:f>AVERAGE('原始数据'!$E$884,'原始数据'!$E$956,'原始数据'!$E$1028,'原始数据'!$E$1100)</x:f>
        <x:v>0.18009999999999998</x:v>
      </x:c>
      <x:c r="F236" s="57" t="n">
        <x:f>MIN('原始数据'!$D$884,'原始数据'!$D$956,'原始数据'!$D$1028,'原始数据'!$D$1100)</x:f>
        <x:v>0.8303</x:v>
      </x:c>
      <x:c r="G236" s="57" t="n">
        <x:f>MAX('原始数据'!$E$884,'原始数据'!$E$956,'原始数据'!$E$1028,'原始数据'!$E$1100)</x:f>
        <x:v>0.2273</x:v>
      </x:c>
      <x:c r="H236" s="60" t="n">
        <x:f>STDEV.P('原始数据'!$D$884,'原始数据'!$D$956,'原始数据'!$D$1028,'原始数据'!$D$1100)</x:f>
        <x:v>0.02458505643678695</x:v>
      </x:c>
      <x:c r="I236" s="63" t="n">
        <x:f>STDEV.P('原始数据'!$E$884,'原始数据'!$E$956,'原始数据'!$E$1028,'原始数据'!$E$1100)</x:f>
        <x:v>0.03495160940500451</x:v>
      </x:c>
    </x:row>
    <x:row r="237" ht="20" customHeight="1">
      <x:c r="A237" s="27" t="str">
        <x:v>HCL-IDS</x:v>
      </x:c>
      <x:c r="B237" s="30" t="str">
        <x:v>2014-05</x:v>
      </x:c>
      <x:c r="C237" s="51" t="n">
        <x:f>COUNT('原始数据'!$D$885,'原始数据'!$D$957,'原始数据'!$D$1029,'原始数据'!$D$1101)</x:f>
        <x:v>4</x:v>
      </x:c>
      <x:c r="D237" s="54" t="n">
        <x:f>AVERAGE('原始数据'!$D$885,'原始数据'!$D$957,'原始数据'!$D$1029,'原始数据'!$D$1101)</x:f>
        <x:v>0.868825</x:v>
      </x:c>
      <x:c r="E237" s="54" t="n">
        <x:f>AVERAGE('原始数据'!$E$885,'原始数据'!$E$957,'原始数据'!$E$1029,'原始数据'!$E$1101)</x:f>
        <x:v>0.190175</x:v>
      </x:c>
      <x:c r="F237" s="57" t="n">
        <x:f>MIN('原始数据'!$D$885,'原始数据'!$D$957,'原始数据'!$D$1029,'原始数据'!$D$1101)</x:f>
        <x:v>0.8128</x:v>
      </x:c>
      <x:c r="G237" s="57" t="n">
        <x:f>MAX('原始数据'!$E$885,'原始数据'!$E$957,'原始数据'!$E$1029,'原始数据'!$E$1101)</x:f>
        <x:v>0.2616</x:v>
      </x:c>
      <x:c r="H237" s="60" t="n">
        <x:f>STDEV.P('原始数据'!$D$885,'原始数据'!$D$957,'原始数据'!$D$1029,'原始数据'!$D$1101)</x:f>
        <x:v>0.03270920168698712</x:v>
      </x:c>
      <x:c r="I237" s="63" t="n">
        <x:f>STDEV.P('原始数据'!$E$885,'原始数据'!$E$957,'原始数据'!$E$1029,'原始数据'!$E$1101)</x:f>
        <x:v>0.04367512879202533</x:v>
      </x:c>
    </x:row>
    <x:row r="238" ht="20" customHeight="1">
      <x:c r="A238" s="27" t="str">
        <x:v>HCL-IDS</x:v>
      </x:c>
      <x:c r="B238" s="30" t="str">
        <x:v>2014-06</x:v>
      </x:c>
      <x:c r="C238" s="51" t="n">
        <x:f>COUNT('原始数据'!$D$886,'原始数据'!$D$958,'原始数据'!$D$1030,'原始数据'!$D$1102)</x:f>
        <x:v>4</x:v>
      </x:c>
      <x:c r="D238" s="54" t="n">
        <x:f>AVERAGE('原始数据'!$D$886,'原始数据'!$D$958,'原始数据'!$D$1030,'原始数据'!$D$1102)</x:f>
        <x:v>0.8038750000000001</x:v>
      </x:c>
      <x:c r="E238" s="54" t="n">
        <x:f>AVERAGE('原始数据'!$E$886,'原始数据'!$E$958,'原始数据'!$E$1030,'原始数据'!$E$1102)</x:f>
        <x:v>0.292675</x:v>
      </x:c>
      <x:c r="F238" s="57" t="n">
        <x:f>MIN('原始数据'!$D$886,'原始数据'!$D$958,'原始数据'!$D$1030,'原始数据'!$D$1102)</x:f>
        <x:v>0.7562</x:v>
      </x:c>
      <x:c r="G238" s="57" t="n">
        <x:f>MAX('原始数据'!$E$886,'原始数据'!$E$958,'原始数据'!$E$1030,'原始数据'!$E$1102)</x:f>
        <x:v>0.3554</x:v>
      </x:c>
      <x:c r="H238" s="60" t="n">
        <x:f>STDEV.P('原始数据'!$D$886,'原始数据'!$D$958,'原始数据'!$D$1030,'原始数据'!$D$1102)</x:f>
        <x:v>0.04048366182795228</x:v>
      </x:c>
      <x:c r="I238" s="63" t="n">
        <x:f>STDEV.P('原始数据'!$E$886,'原始数据'!$E$958,'原始数据'!$E$1030,'原始数据'!$E$1102)</x:f>
        <x:v>0.05799117928616386</x:v>
      </x:c>
    </x:row>
    <x:row r="239" ht="20" customHeight="1">
      <x:c r="A239" s="27" t="str">
        <x:v>HCL-IDS</x:v>
      </x:c>
      <x:c r="B239" s="30" t="str">
        <x:v>2014-07</x:v>
      </x:c>
      <x:c r="C239" s="51" t="n">
        <x:f>COUNT('原始数据'!$D$887,'原始数据'!$D$959,'原始数据'!$D$1031,'原始数据'!$D$1103)</x:f>
        <x:v>4</x:v>
      </x:c>
      <x:c r="D239" s="54" t="n">
        <x:f>AVERAGE('原始数据'!$D$887,'原始数据'!$D$959,'原始数据'!$D$1031,'原始数据'!$D$1103)</x:f>
        <x:v>0.79695</x:v>
      </x:c>
      <x:c r="E239" s="54" t="n">
        <x:f>AVERAGE('原始数据'!$E$887,'原始数据'!$E$959,'原始数据'!$E$1031,'原始数据'!$E$1103)</x:f>
        <x:v>0.3121</x:v>
      </x:c>
      <x:c r="F239" s="57" t="n">
        <x:f>MIN('原始数据'!$D$887,'原始数据'!$D$959,'原始数据'!$D$1031,'原始数据'!$D$1103)</x:f>
        <x:v>0.7574</x:v>
      </x:c>
      <x:c r="G239" s="57" t="n">
        <x:f>MAX('原始数据'!$E$887,'原始数据'!$E$959,'原始数据'!$E$1031,'原始数据'!$E$1103)</x:f>
        <x:v>0.3587</x:v>
      </x:c>
      <x:c r="H239" s="60" t="n">
        <x:f>STDEV.P('原始数据'!$D$887,'原始数据'!$D$959,'原始数据'!$D$1031,'原始数据'!$D$1103)</x:f>
        <x:v>0.025420906750153526</x:v>
      </x:c>
      <x:c r="I239" s="63" t="n">
        <x:f>STDEV.P('原始数据'!$E$887,'原始数据'!$E$959,'原始数据'!$E$1031,'原始数据'!$E$1103)</x:f>
        <x:v>0.03260605771938706</x:v>
      </x:c>
    </x:row>
    <x:row r="240" ht="20" customHeight="1">
      <x:c r="A240" s="27" t="str">
        <x:v>HCL-IDS</x:v>
      </x:c>
      <x:c r="B240" s="30" t="str">
        <x:v>2014-08</x:v>
      </x:c>
      <x:c r="C240" s="51" t="n">
        <x:f>COUNT('原始数据'!$D$888,'原始数据'!$D$960,'原始数据'!$D$1032,'原始数据'!$D$1104)</x:f>
        <x:v>4</x:v>
      </x:c>
      <x:c r="D240" s="54" t="n">
        <x:f>AVERAGE('原始数据'!$D$888,'原始数据'!$D$960,'原始数据'!$D$1032,'原始数据'!$D$1104)</x:f>
        <x:v>0.841375</x:v>
      </x:c>
      <x:c r="E240" s="54" t="n">
        <x:f>AVERAGE('原始数据'!$E$888,'原始数据'!$E$960,'原始数据'!$E$1032,'原始数据'!$E$1104)</x:f>
        <x:v>0.24445</x:v>
      </x:c>
      <x:c r="F240" s="57" t="n">
        <x:f>MIN('原始数据'!$D$888,'原始数据'!$D$960,'原始数据'!$D$1032,'原始数据'!$D$1104)</x:f>
        <x:v>0.7803</x:v>
      </x:c>
      <x:c r="G240" s="57" t="n">
        <x:f>MAX('原始数据'!$E$888,'原始数据'!$E$960,'原始数据'!$E$1032,'原始数据'!$E$1104)</x:f>
        <x:v>0.3306</x:v>
      </x:c>
      <x:c r="H240" s="60" t="n">
        <x:f>STDEV.P('原始数据'!$D$888,'原始数据'!$D$960,'原始数据'!$D$1032,'原始数据'!$D$1104)</x:f>
        <x:v>0.036472343974578866</x:v>
      </x:c>
      <x:c r="I240" s="63" t="n">
        <x:f>STDEV.P('原始数据'!$E$888,'原始数据'!$E$960,'原始数据'!$E$1032,'原始数据'!$E$1104)</x:f>
        <x:v>0.05249335672254157</x:v>
      </x:c>
    </x:row>
    <x:row r="241" ht="20" customHeight="1">
      <x:c r="A241" s="27" t="str">
        <x:v>HCL-IDS</x:v>
      </x:c>
      <x:c r="B241" s="30" t="str">
        <x:v>2014-09</x:v>
      </x:c>
      <x:c r="C241" s="51" t="n">
        <x:f>COUNT('原始数据'!$D$889,'原始数据'!$D$961,'原始数据'!$D$1033,'原始数据'!$D$1105)</x:f>
        <x:v>4</x:v>
      </x:c>
      <x:c r="D241" s="54" t="n">
        <x:f>AVERAGE('原始数据'!$D$889,'原始数据'!$D$961,'原始数据'!$D$1033,'原始数据'!$D$1105)</x:f>
        <x:v>0.8508</x:v>
      </x:c>
      <x:c r="E241" s="54" t="n">
        <x:f>AVERAGE('原始数据'!$E$889,'原始数据'!$E$961,'原始数据'!$E$1033,'原始数据'!$E$1105)</x:f>
        <x:v>0.24585</x:v>
      </x:c>
      <x:c r="F241" s="57" t="n">
        <x:f>MIN('原始数据'!$D$889,'原始数据'!$D$961,'原始数据'!$D$1033,'原始数据'!$D$1105)</x:f>
        <x:v>0.811</x:v>
      </x:c>
      <x:c r="G241" s="57" t="n">
        <x:f>MAX('原始数据'!$E$889,'原始数据'!$E$961,'原始数据'!$E$1033,'原始数据'!$E$1105)</x:f>
        <x:v>0.3033</x:v>
      </x:c>
      <x:c r="H241" s="60" t="n">
        <x:f>STDEV.P('原始数据'!$D$889,'原始数据'!$D$961,'原始数据'!$D$1033,'原始数据'!$D$1105)</x:f>
        <x:v>0.023011410213196377</x:v>
      </x:c>
      <x:c r="I241" s="63" t="n">
        <x:f>STDEV.P('原始数据'!$E$889,'原始数据'!$E$961,'原始数据'!$E$1033,'原始数据'!$E$1105)</x:f>
        <x:v>0.033269918845708055</x:v>
      </x:c>
    </x:row>
    <x:row r="242" ht="20" customHeight="1">
      <x:c r="A242" s="27" t="str">
        <x:v>HCL-IDS</x:v>
      </x:c>
      <x:c r="B242" s="30" t="str">
        <x:v>2014-10</x:v>
      </x:c>
      <x:c r="C242" s="51" t="n">
        <x:f>COUNT('原始数据'!$D$890,'原始数据'!$D$962,'原始数据'!$D$1034,'原始数据'!$D$1106)</x:f>
        <x:v>4</x:v>
      </x:c>
      <x:c r="D242" s="54" t="n">
        <x:f>AVERAGE('原始数据'!$D$890,'原始数据'!$D$962,'原始数据'!$D$1034,'原始数据'!$D$1106)</x:f>
        <x:v>0.82075</x:v>
      </x:c>
      <x:c r="E242" s="54" t="n">
        <x:f>AVERAGE('原始数据'!$E$890,'原始数据'!$E$962,'原始数据'!$E$1034,'原始数据'!$E$1106)</x:f>
        <x:v>0.273525</x:v>
      </x:c>
      <x:c r="F242" s="57" t="n">
        <x:f>MIN('原始数据'!$D$890,'原始数据'!$D$962,'原始数据'!$D$1034,'原始数据'!$D$1106)</x:f>
        <x:v>0.7703</x:v>
      </x:c>
      <x:c r="G242" s="57" t="n">
        <x:f>MAX('原始数据'!$E$890,'原始数据'!$E$962,'原始数据'!$E$1034,'原始数据'!$E$1106)</x:f>
        <x:v>0.3415</x:v>
      </x:c>
      <x:c r="H242" s="60" t="n">
        <x:f>STDEV.P('原始数据'!$D$890,'原始数据'!$D$962,'原始数据'!$D$1034,'原始数据'!$D$1106)</x:f>
        <x:v>0.03339449804982854</x:v>
      </x:c>
      <x:c r="I242" s="63" t="n">
        <x:f>STDEV.P('原始数据'!$E$890,'原始数据'!$E$962,'原始数据'!$E$1034,'原始数据'!$E$1106)</x:f>
        <x:v>0.04893492490032043</x:v>
      </x:c>
    </x:row>
    <x:row r="243" ht="20" customHeight="1">
      <x:c r="A243" s="27" t="str">
        <x:v>HCL-IDS</x:v>
      </x:c>
      <x:c r="B243" s="30" t="str">
        <x:v>2014-11</x:v>
      </x:c>
      <x:c r="C243" s="51" t="n">
        <x:f>COUNT('原始数据'!$D$891,'原始数据'!$D$963,'原始数据'!$D$1035,'原始数据'!$D$1107)</x:f>
        <x:v>4</x:v>
      </x:c>
      <x:c r="D243" s="54" t="n">
        <x:f>AVERAGE('原始数据'!$D$891,'原始数据'!$D$963,'原始数据'!$D$1035,'原始数据'!$D$1107)</x:f>
        <x:v>0.8993249999999999</x:v>
      </x:c>
      <x:c r="E243" s="54" t="n">
        <x:f>AVERAGE('原始数据'!$E$891,'原始数据'!$E$963,'原始数据'!$E$1035,'原始数据'!$E$1107)</x:f>
        <x:v>0.14857499999999998</x:v>
      </x:c>
      <x:c r="F243" s="57" t="n">
        <x:f>MIN('原始数据'!$D$891,'原始数据'!$D$963,'原始数据'!$D$1035,'原始数据'!$D$1107)</x:f>
        <x:v>0.8278</x:v>
      </x:c>
      <x:c r="G243" s="57" t="n">
        <x:f>MAX('原始数据'!$E$891,'原始数据'!$E$963,'原始数据'!$E$1035,'原始数据'!$E$1107)</x:f>
        <x:v>0.2637</x:v>
      </x:c>
      <x:c r="H243" s="60" t="n">
        <x:f>STDEV.P('原始数据'!$D$891,'原始数据'!$D$963,'原始数据'!$D$1035,'原始数据'!$D$1107)</x:f>
        <x:v>0.04161017754107762</x:v>
      </x:c>
      <x:c r="I243" s="63" t="n">
        <x:f>STDEV.P('原始数据'!$E$891,'原始数据'!$E$963,'原始数据'!$E$1035,'原始数据'!$E$1107)</x:f>
        <x:v>0.06687426167816733</x:v>
      </x:c>
    </x:row>
    <x:row r="244" ht="20" customHeight="1">
      <x:c r="A244" s="27" t="str">
        <x:v>HCL-IDS</x:v>
      </x:c>
      <x:c r="B244" s="30" t="str">
        <x:v>2014-12</x:v>
      </x:c>
      <x:c r="C244" s="51" t="n">
        <x:f>COUNT('原始数据'!$D$892,'原始数据'!$D$964,'原始数据'!$D$1036,'原始数据'!$D$1108)</x:f>
        <x:v>4</x:v>
      </x:c>
      <x:c r="D244" s="54" t="n">
        <x:f>AVERAGE('原始数据'!$D$892,'原始数据'!$D$964,'原始数据'!$D$1036,'原始数据'!$D$1108)</x:f>
        <x:v>0.869625</x:v>
      </x:c>
      <x:c r="E244" s="54" t="n">
        <x:f>AVERAGE('原始数据'!$E$892,'原始数据'!$E$964,'原始数据'!$E$1036,'原始数据'!$E$1108)</x:f>
        <x:v>0.20995</x:v>
      </x:c>
      <x:c r="F244" s="57" t="n">
        <x:f>MIN('原始数据'!$D$892,'原始数据'!$D$964,'原始数据'!$D$1036,'原始数据'!$D$1108)</x:f>
        <x:v>0.8421</x:v>
      </x:c>
      <x:c r="G244" s="57" t="n">
        <x:f>MAX('原始数据'!$E$892,'原始数据'!$E$964,'原始数据'!$E$1036,'原始数据'!$E$1108)</x:f>
        <x:v>0.2535</x:v>
      </x:c>
      <x:c r="H244" s="60" t="n">
        <x:f>STDEV.P('原始数据'!$D$892,'原始数据'!$D$964,'原始数据'!$D$1036,'原始数据'!$D$1108)</x:f>
        <x:v>0.017491765919997907</x:v>
      </x:c>
      <x:c r="I244" s="63" t="n">
        <x:f>STDEV.P('原始数据'!$E$892,'原始数据'!$E$964,'原始数据'!$E$1036,'原始数据'!$E$1108)</x:f>
        <x:v>0.02749768172046509</x:v>
      </x:c>
    </x:row>
    <x:row r="245" ht="20" customHeight="1">
      <x:c r="A245" s="27" t="str">
        <x:v>HCL-IDS</x:v>
      </x:c>
      <x:c r="B245" s="30" t="str">
        <x:v>2015-01</x:v>
      </x:c>
      <x:c r="C245" s="51" t="n">
        <x:f>COUNT('原始数据'!$D$893,'原始数据'!$D$965,'原始数据'!$D$1037,'原始数据'!$D$1109)</x:f>
        <x:v>4</x:v>
      </x:c>
      <x:c r="D245" s="54" t="n">
        <x:f>AVERAGE('原始数据'!$D$893,'原始数据'!$D$965,'原始数据'!$D$1037,'原始数据'!$D$1109)</x:f>
        <x:v>0.8672500000000001</x:v>
      </x:c>
      <x:c r="E245" s="54" t="n">
        <x:f>AVERAGE('原始数据'!$E$893,'原始数据'!$E$965,'原始数据'!$E$1037,'原始数据'!$E$1109)</x:f>
        <x:v>0.216525</x:v>
      </x:c>
      <x:c r="F245" s="57" t="n">
        <x:f>MIN('原始数据'!$D$893,'原始数据'!$D$965,'原始数据'!$D$1037,'原始数据'!$D$1109)</x:f>
        <x:v>0.8453</x:v>
      </x:c>
      <x:c r="G245" s="57" t="n">
        <x:f>MAX('原始数据'!$E$893,'原始数据'!$E$965,'原始数据'!$E$1037,'原始数据'!$E$1109)</x:f>
        <x:v>0.251</x:v>
      </x:c>
      <x:c r="H245" s="60" t="n">
        <x:f>STDEV.P('原始数据'!$D$893,'原始数据'!$D$965,'原始数据'!$D$1037,'原始数据'!$D$1109)</x:f>
        <x:v>0.013062254782387274</x:v>
      </x:c>
      <x:c r="I245" s="63" t="n">
        <x:f>STDEV.P('原始数据'!$E$893,'原始数据'!$E$965,'原始数据'!$E$1037,'原始数据'!$E$1109)</x:f>
        <x:v>0.02138426699702377</x:v>
      </x:c>
    </x:row>
    <x:row r="246" ht="20" customHeight="1">
      <x:c r="A246" s="27" t="str">
        <x:v>HCL-IDS</x:v>
      </x:c>
      <x:c r="B246" s="30" t="str">
        <x:v>2015-02</x:v>
      </x:c>
      <x:c r="C246" s="51" t="n">
        <x:f>COUNT('原始数据'!$D$894,'原始数据'!$D$966,'原始数据'!$D$1038,'原始数据'!$D$1110)</x:f>
        <x:v>4</x:v>
      </x:c>
      <x:c r="D246" s="54" t="n">
        <x:f>AVERAGE('原始数据'!$D$894,'原始数据'!$D$966,'原始数据'!$D$1038,'原始数据'!$D$1110)</x:f>
        <x:v>0.924</x:v>
      </x:c>
      <x:c r="E246" s="54" t="n">
        <x:f>AVERAGE('原始数据'!$E$894,'原始数据'!$E$966,'原始数据'!$E$1038,'原始数据'!$E$1110)</x:f>
        <x:v>0.119325</x:v>
      </x:c>
      <x:c r="F246" s="57" t="n">
        <x:f>MIN('原始数据'!$D$894,'原始数据'!$D$966,'原始数据'!$D$1038,'原始数据'!$D$1110)</x:f>
        <x:v>0.9091</x:v>
      </x:c>
      <x:c r="G246" s="57" t="n">
        <x:f>MAX('原始数据'!$E$894,'原始数据'!$E$966,'原始数据'!$E$1038,'原始数据'!$E$1110)</x:f>
        <x:v>0.1494</x:v>
      </x:c>
      <x:c r="H246" s="60" t="n">
        <x:f>STDEV.P('原始数据'!$D$894,'原始数据'!$D$966,'原始数据'!$D$1038,'原始数据'!$D$1110)</x:f>
        <x:v>0.008748428430295354</x:v>
      </x:c>
      <x:c r="I246" s="63" t="n">
        <x:f>STDEV.P('原始数据'!$E$894,'原始数据'!$E$966,'原始数据'!$E$1038,'原始数据'!$E$1110)</x:f>
        <x:v>0.01834889301838125</x:v>
      </x:c>
    </x:row>
    <x:row r="247" ht="20" customHeight="1">
      <x:c r="A247" s="27" t="str">
        <x:v>HCL-IDS</x:v>
      </x:c>
      <x:c r="B247" s="30" t="str">
        <x:v>2015-03</x:v>
      </x:c>
      <x:c r="C247" s="51" t="n">
        <x:f>COUNT('原始数据'!$D$895,'原始数据'!$D$967,'原始数据'!$D$1039,'原始数据'!$D$1111)</x:f>
        <x:v>4</x:v>
      </x:c>
      <x:c r="D247" s="54" t="n">
        <x:f>AVERAGE('原始数据'!$D$895,'原始数据'!$D$967,'原始数据'!$D$1039,'原始数据'!$D$1111)</x:f>
        <x:v>0.91385</x:v>
      </x:c>
      <x:c r="E247" s="54" t="n">
        <x:f>AVERAGE('原始数据'!$E$895,'原始数据'!$E$967,'原始数据'!$E$1039,'原始数据'!$E$1111)</x:f>
        <x:v>0.141725</x:v>
      </x:c>
      <x:c r="F247" s="57" t="n">
        <x:f>MIN('原始数据'!$D$895,'原始数据'!$D$967,'原始数据'!$D$1039,'原始数据'!$D$1111)</x:f>
        <x:v>0.8824</x:v>
      </x:c>
      <x:c r="G247" s="57" t="n">
        <x:f>MAX('原始数据'!$E$895,'原始数据'!$E$967,'原始数据'!$E$1039,'原始数据'!$E$1111)</x:f>
        <x:v>0.2038</x:v>
      </x:c>
      <x:c r="H247" s="60" t="n">
        <x:f>STDEV.P('原始数据'!$D$895,'原始数据'!$D$967,'原始数据'!$D$1039,'原始数据'!$D$1111)</x:f>
        <x:v>0.019764931064893722</x:v>
      </x:c>
      <x:c r="I247" s="63" t="n">
        <x:f>STDEV.P('原始数据'!$E$895,'原始数据'!$E$967,'原始数据'!$E$1039,'原始数据'!$E$1111)</x:f>
        <x:v>0.03893561191248958</x:v>
      </x:c>
    </x:row>
    <x:row r="248" ht="20" customHeight="1">
      <x:c r="A248" s="27" t="str">
        <x:v>HCL-IDS</x:v>
      </x:c>
      <x:c r="B248" s="30" t="str">
        <x:v>2015-04</x:v>
      </x:c>
      <x:c r="C248" s="51" t="n">
        <x:f>COUNT('原始数据'!$D$896,'原始数据'!$D$968,'原始数据'!$D$1040,'原始数据'!$D$1112)</x:f>
        <x:v>4</x:v>
      </x:c>
      <x:c r="D248" s="54" t="n">
        <x:f>AVERAGE('原始数据'!$D$896,'原始数据'!$D$968,'原始数据'!$D$1040,'原始数据'!$D$1112)</x:f>
        <x:v>0.933775</x:v>
      </x:c>
      <x:c r="E248" s="54" t="n">
        <x:f>AVERAGE('原始数据'!$E$896,'原始数据'!$E$968,'原始数据'!$E$1040,'原始数据'!$E$1112)</x:f>
        <x:v>0.107075</x:v>
      </x:c>
      <x:c r="F248" s="57" t="n">
        <x:f>MIN('原始数据'!$D$896,'原始数据'!$D$968,'原始数据'!$D$1040,'原始数据'!$D$1112)</x:f>
        <x:v>0.911</x:v>
      </x:c>
      <x:c r="G248" s="57" t="n">
        <x:f>MAX('原始数据'!$E$896,'原始数据'!$E$968,'原始数据'!$E$1040,'原始数据'!$E$1112)</x:f>
        <x:v>0.1456</x:v>
      </x:c>
      <x:c r="H248" s="60" t="n">
        <x:f>STDEV.P('原始数据'!$D$896,'原始数据'!$D$968,'原始数据'!$D$1040,'原始数据'!$D$1112)</x:f>
        <x:v>0.014087294807733667</x:v>
      </x:c>
      <x:c r="I248" s="63" t="n">
        <x:f>STDEV.P('原始数据'!$E$896,'原始数据'!$E$968,'原始数据'!$E$1040,'原始数据'!$E$1112)</x:f>
        <x:v>0.024026794938151866</x:v>
      </x:c>
    </x:row>
    <x:row r="249" ht="20" customHeight="1">
      <x:c r="A249" s="27" t="str">
        <x:v>HCL-IDS</x:v>
      </x:c>
      <x:c r="B249" s="30" t="str">
        <x:v>2015-05</x:v>
      </x:c>
      <x:c r="C249" s="51" t="n">
        <x:f>COUNT('原始数据'!$D$897,'原始数据'!$D$969,'原始数据'!$D$1041,'原始数据'!$D$1113)</x:f>
        <x:v>4</x:v>
      </x:c>
      <x:c r="D249" s="54" t="n">
        <x:f>AVERAGE('原始数据'!$D$897,'原始数据'!$D$969,'原始数据'!$D$1041,'原始数据'!$D$1113)</x:f>
        <x:v>0.9137500000000001</x:v>
      </x:c>
      <x:c r="E249" s="54" t="n">
        <x:f>AVERAGE('原始数据'!$E$897,'原始数据'!$E$969,'原始数据'!$E$1041,'原始数据'!$E$1113)</x:f>
        <x:v>0.134</x:v>
      </x:c>
      <x:c r="F249" s="57" t="n">
        <x:f>MIN('原始数据'!$D$897,'原始数据'!$D$969,'原始数据'!$D$1041,'原始数据'!$D$1113)</x:f>
        <x:v>0.8834</x:v>
      </x:c>
      <x:c r="G249" s="57" t="n">
        <x:f>MAX('原始数据'!$E$897,'原始数据'!$E$969,'原始数据'!$E$1041,'原始数据'!$E$1113)</x:f>
        <x:v>0.1892</x:v>
      </x:c>
      <x:c r="H249" s="60" t="n">
        <x:f>STDEV.P('原始数据'!$D$897,'原始数据'!$D$969,'原始数据'!$D$1041,'原始数据'!$D$1113)</x:f>
        <x:v>0.018629747717025066</x:v>
      </x:c>
      <x:c r="I249" s="63" t="n">
        <x:f>STDEV.P('原始数据'!$E$897,'原始数据'!$E$969,'原始数据'!$E$1041,'原始数据'!$E$1113)</x:f>
        <x:v>0.033970575502926065</x:v>
      </x:c>
    </x:row>
    <x:row r="250" ht="20" customHeight="1">
      <x:c r="A250" s="27" t="str">
        <x:v>HCL-IDS</x:v>
      </x:c>
      <x:c r="B250" s="30" t="str">
        <x:v>2015-06</x:v>
      </x:c>
      <x:c r="C250" s="51" t="n">
        <x:f>COUNT('原始数据'!$D$898,'原始数据'!$D$970,'原始数据'!$D$1042,'原始数据'!$D$1114)</x:f>
        <x:v>4</x:v>
      </x:c>
      <x:c r="D250" s="54" t="n">
        <x:f>AVERAGE('原始数据'!$D$898,'原始数据'!$D$970,'原始数据'!$D$1042,'原始数据'!$D$1114)</x:f>
        <x:v>0.91325</x:v>
      </x:c>
      <x:c r="E250" s="54" t="n">
        <x:f>AVERAGE('原始数据'!$E$898,'原始数据'!$E$970,'原始数据'!$E$1042,'原始数据'!$E$1114)</x:f>
        <x:v>0.13785</x:v>
      </x:c>
      <x:c r="F250" s="57" t="n">
        <x:f>MIN('原始数据'!$D$898,'原始数据'!$D$970,'原始数据'!$D$1042,'原始数据'!$D$1114)</x:f>
        <x:v>0.8709</x:v>
      </x:c>
      <x:c r="G250" s="57" t="n">
        <x:f>MAX('原始数据'!$E$898,'原始数据'!$E$970,'原始数据'!$E$1042,'原始数据'!$E$1114)</x:f>
        <x:v>0.2101</x:v>
      </x:c>
      <x:c r="H250" s="60" t="n">
        <x:f>STDEV.P('原始数据'!$D$898,'原始数据'!$D$970,'原始数据'!$D$1042,'原始数据'!$D$1114)</x:f>
        <x:v>0.026023498996099643</x:v>
      </x:c>
      <x:c r="I250" s="63" t="n">
        <x:f>STDEV.P('原始数据'!$E$898,'原始数据'!$E$970,'原始数据'!$E$1042,'原始数据'!$E$1114)</x:f>
        <x:v>0.04552419686276739</x:v>
      </x:c>
    </x:row>
    <x:row r="251" ht="20" customHeight="1">
      <x:c r="A251" s="27" t="str">
        <x:v>HCL-IDS</x:v>
      </x:c>
      <x:c r="B251" s="30" t="str">
        <x:v>2015-07</x:v>
      </x:c>
      <x:c r="C251" s="51" t="n">
        <x:f>COUNT('原始数据'!$D$899,'原始数据'!$D$971,'原始数据'!$D$1043,'原始数据'!$D$1115)</x:f>
        <x:v>4</x:v>
      </x:c>
      <x:c r="D251" s="54" t="n">
        <x:f>AVERAGE('原始数据'!$D$899,'原始数据'!$D$971,'原始数据'!$D$1043,'原始数据'!$D$1115)</x:f>
        <x:v>0.8856499999999999</x:v>
      </x:c>
      <x:c r="E251" s="54" t="n">
        <x:f>AVERAGE('原始数据'!$E$899,'原始数据'!$E$971,'原始数据'!$E$1043,'原始数据'!$E$1115)</x:f>
        <x:v>0.182925</x:v>
      </x:c>
      <x:c r="F251" s="57" t="n">
        <x:f>MIN('原始数据'!$D$899,'原始数据'!$D$971,'原始数据'!$D$1043,'原始数据'!$D$1115)</x:f>
        <x:v>0.8273</x:v>
      </x:c>
      <x:c r="G251" s="57" t="n">
        <x:f>MAX('原始数据'!$E$899,'原始数据'!$E$971,'原始数据'!$E$1043,'原始数据'!$E$1115)</x:f>
        <x:v>0.2767</x:v>
      </x:c>
      <x:c r="H251" s="60" t="n">
        <x:f>STDEV.P('原始数据'!$D$899,'原始数据'!$D$971,'原始数据'!$D$1043,'原始数据'!$D$1115)</x:f>
        <x:v>0.0352687893186029</x:v>
      </x:c>
      <x:c r="I251" s="63" t="n">
        <x:f>STDEV.P('原始数据'!$E$899,'原始数据'!$E$971,'原始数据'!$E$1043,'原始数据'!$E$1115)</x:f>
        <x:v>0.05775865194929673</x:v>
      </x:c>
    </x:row>
    <x:row r="252" ht="20" customHeight="1">
      <x:c r="A252" s="27" t="str">
        <x:v>HCL-IDS</x:v>
      </x:c>
      <x:c r="B252" s="30" t="str">
        <x:v>2015-08</x:v>
      </x:c>
      <x:c r="C252" s="51" t="n">
        <x:f>COUNT('原始数据'!$D$900,'原始数据'!$D$972,'原始数据'!$D$1044,'原始数据'!$D$1116)</x:f>
        <x:v>4</x:v>
      </x:c>
      <x:c r="D252" s="54" t="n">
        <x:f>AVERAGE('原始数据'!$D$900,'原始数据'!$D$972,'原始数据'!$D$1044,'原始数据'!$D$1116)</x:f>
        <x:v>0.9318249999999999</x:v>
      </x:c>
      <x:c r="E252" s="54" t="n">
        <x:f>AVERAGE('原始数据'!$E$900,'原始数据'!$E$972,'原始数据'!$E$1044,'原始数据'!$E$1116)</x:f>
        <x:v>0.10702500000000001</x:v>
      </x:c>
      <x:c r="F252" s="57" t="n">
        <x:f>MIN('原始数据'!$D$900,'原始数据'!$D$972,'原始数据'!$D$1044,'原始数据'!$D$1116)</x:f>
        <x:v>0.903</x:v>
      </x:c>
      <x:c r="G252" s="57" t="n">
        <x:f>MAX('原始数据'!$E$900,'原始数据'!$E$972,'原始数据'!$E$1044,'原始数据'!$E$1116)</x:f>
        <x:v>0.1634</x:v>
      </x:c>
      <x:c r="H252" s="60" t="n">
        <x:f>STDEV.P('原始数据'!$D$900,'原始数据'!$D$972,'原始数据'!$D$1044,'原始数据'!$D$1116)</x:f>
        <x:v>0.01784970237847117</x:v>
      </x:c>
      <x:c r="I252" s="63" t="n">
        <x:f>STDEV.P('原始数据'!$E$900,'原始数据'!$E$972,'原始数据'!$E$1044,'原始数据'!$E$1116)</x:f>
        <x:v>0.03499145431387497</x:v>
      </x:c>
    </x:row>
    <x:row r="253" ht="20" customHeight="1">
      <x:c r="A253" s="27" t="str">
        <x:v>HCL-IDS</x:v>
      </x:c>
      <x:c r="B253" s="30" t="str">
        <x:v>2015-09</x:v>
      </x:c>
      <x:c r="C253" s="51" t="n">
        <x:f>COUNT('原始数据'!$D$901,'原始数据'!$D$973,'原始数据'!$D$1045,'原始数据'!$D$1117)</x:f>
        <x:v>4</x:v>
      </x:c>
      <x:c r="D253" s="54" t="n">
        <x:f>AVERAGE('原始数据'!$D$901,'原始数据'!$D$973,'原始数据'!$D$1045,'原始数据'!$D$1117)</x:f>
        <x:v>0.822425</x:v>
      </x:c>
      <x:c r="E253" s="54" t="n">
        <x:f>AVERAGE('原始数据'!$E$901,'原始数据'!$E$973,'原始数据'!$E$1045,'原始数据'!$E$1117)</x:f>
        <x:v>0.28164999999999996</x:v>
      </x:c>
      <x:c r="F253" s="57" t="n">
        <x:f>MIN('原始数据'!$D$901,'原始数据'!$D$973,'原始数据'!$D$1045,'原始数据'!$D$1117)</x:f>
        <x:v>0.7913</x:v>
      </x:c>
      <x:c r="G253" s="57" t="n">
        <x:f>MAX('原始数据'!$E$901,'原始数据'!$E$973,'原始数据'!$E$1045,'原始数据'!$E$1117)</x:f>
        <x:v>0.3237</x:v>
      </x:c>
      <x:c r="H253" s="60" t="n">
        <x:f>STDEV.P('原始数据'!$D$901,'原始数据'!$D$973,'原始数据'!$D$1045,'原始数据'!$D$1117)</x:f>
        <x:v>0.02013670467082437</x:v>
      </x:c>
      <x:c r="I253" s="63" t="n">
        <x:f>STDEV.P('原始数据'!$E$901,'原始数据'!$E$973,'原始数据'!$E$1045,'原始数据'!$E$1117)</x:f>
        <x:v>0.026923456316008162</x:v>
      </x:c>
    </x:row>
    <x:row r="254" ht="20" customHeight="1">
      <x:c r="A254" s="27" t="str">
        <x:v>HCL-IDS</x:v>
      </x:c>
      <x:c r="B254" s="30" t="str">
        <x:v>2015-10</x:v>
      </x:c>
      <x:c r="C254" s="51" t="n">
        <x:f>COUNT('原始数据'!$D$902,'原始数据'!$D$974,'原始数据'!$D$1046,'原始数据'!$D$1118)</x:f>
        <x:v>4</x:v>
      </x:c>
      <x:c r="D254" s="54" t="n">
        <x:f>AVERAGE('原始数据'!$D$902,'原始数据'!$D$974,'原始数据'!$D$1046,'原始数据'!$D$1118)</x:f>
        <x:v>0.7972499999999999</x:v>
      </x:c>
      <x:c r="E254" s="54" t="n">
        <x:f>AVERAGE('原始数据'!$E$902,'原始数据'!$E$974,'原始数据'!$E$1046,'原始数据'!$E$1118)</x:f>
        <x:v>0.316325</x:v>
      </x:c>
      <x:c r="F254" s="57" t="n">
        <x:f>MIN('原始数据'!$D$902,'原始数据'!$D$974,'原始数据'!$D$1046,'原始数据'!$D$1118)</x:f>
        <x:v>0.7413</x:v>
      </x:c>
      <x:c r="G254" s="57" t="n">
        <x:f>MAX('原始数据'!$E$902,'原始数据'!$E$974,'原始数据'!$E$1046,'原始数据'!$E$1118)</x:f>
        <x:v>0.3937</x:v>
      </x:c>
      <x:c r="H254" s="60" t="n">
        <x:f>STDEV.P('原始数据'!$D$902,'原始数据'!$D$974,'原始数据'!$D$1046,'原始数据'!$D$1118)</x:f>
        <x:v>0.03427685078883415</x:v>
      </x:c>
      <x:c r="I254" s="63" t="n">
        <x:f>STDEV.P('原始数据'!$E$902,'原始数据'!$E$974,'原始数据'!$E$1046,'原始数据'!$E$1118)</x:f>
        <x:v>0.04734492449038228</x:v>
      </x:c>
    </x:row>
    <x:row r="255" ht="20" customHeight="1">
      <x:c r="A255" s="27" t="str">
        <x:v>HCL-IDS</x:v>
      </x:c>
      <x:c r="B255" s="30" t="str">
        <x:v>2015-11</x:v>
      </x:c>
      <x:c r="C255" s="51" t="n">
        <x:f>COUNT('原始数据'!$D$903,'原始数据'!$D$975,'原始数据'!$D$1047,'原始数据'!$D$1119)</x:f>
        <x:v>4</x:v>
      </x:c>
      <x:c r="D255" s="54" t="n">
        <x:f>AVERAGE('原始数据'!$D$903,'原始数据'!$D$975,'原始数据'!$D$1047,'原始数据'!$D$1119)</x:f>
        <x:v>0.914525</x:v>
      </x:c>
      <x:c r="E255" s="54" t="n">
        <x:f>AVERAGE('原始数据'!$E$903,'原始数据'!$E$975,'原始数据'!$E$1047,'原始数据'!$E$1119)</x:f>
        <x:v>0.136775</x:v>
      </x:c>
      <x:c r="F255" s="57" t="n">
        <x:f>MIN('原始数据'!$D$903,'原始数据'!$D$975,'原始数据'!$D$1047,'原始数据'!$D$1119)</x:f>
        <x:v>0.8578</x:v>
      </x:c>
      <x:c r="G255" s="57" t="n">
        <x:f>MAX('原始数据'!$E$903,'原始数据'!$E$975,'原始数据'!$E$1047,'原始数据'!$E$1119)</x:f>
        <x:v>0.2336</x:v>
      </x:c>
      <x:c r="H255" s="60" t="n">
        <x:f>STDEV.P('原始数据'!$D$903,'原始数据'!$D$975,'原始数据'!$D$1047,'原始数据'!$D$1119)</x:f>
        <x:v>0.05170461173821926</x:v>
      </x:c>
      <x:c r="I255" s="63" t="n">
        <x:f>STDEV.P('原始数据'!$E$903,'原始数据'!$E$975,'原始数据'!$E$1047,'原始数据'!$E$1119)</x:f>
        <x:v>0.08594394612187645</x:v>
      </x:c>
    </x:row>
    <x:row r="256" ht="20" customHeight="1">
      <x:c r="A256" s="27" t="str">
        <x:v>HCL-IDS</x:v>
      </x:c>
      <x:c r="B256" s="30" t="str">
        <x:v>2015-12</x:v>
      </x:c>
      <x:c r="C256" s="51" t="n">
        <x:f>COUNT('原始数据'!$D$904,'原始数据'!$D$976,'原始数据'!$D$1048,'原始数据'!$D$1120)</x:f>
        <x:v>4</x:v>
      </x:c>
      <x:c r="D256" s="54" t="n">
        <x:f>AVERAGE('原始数据'!$D$904,'原始数据'!$D$976,'原始数据'!$D$1048,'原始数据'!$D$1120)</x:f>
        <x:v>0.9348500000000001</x:v>
      </x:c>
      <x:c r="E256" s="54" t="n">
        <x:f>AVERAGE('原始数据'!$E$904,'原始数据'!$E$976,'原始数据'!$E$1048,'原始数据'!$E$1120)</x:f>
        <x:v>0.100825</x:v>
      </x:c>
      <x:c r="F256" s="57" t="n">
        <x:f>MIN('原始数据'!$D$904,'原始数据'!$D$976,'原始数据'!$D$1048,'原始数据'!$D$1120)</x:f>
        <x:v>0.8948</x:v>
      </x:c>
      <x:c r="G256" s="57" t="n">
        <x:f>MAX('原始数据'!$E$904,'原始数据'!$E$976,'原始数据'!$E$1048,'原始数据'!$E$1120)</x:f>
        <x:v>0.1601</x:v>
      </x:c>
      <x:c r="H256" s="60" t="n">
        <x:f>STDEV.P('原始数据'!$D$904,'原始数据'!$D$976,'原始数据'!$D$1048,'原始数据'!$D$1120)</x:f>
        <x:v>0.027731976128649742</x:v>
      </x:c>
      <x:c r="I256" s="63" t="n">
        <x:f>STDEV.P('原始数据'!$E$904,'原始数据'!$E$976,'原始数据'!$E$1048,'原始数据'!$E$1120)</x:f>
        <x:v>0.04357048169345847</x:v>
      </x:c>
    </x:row>
    <x:row r="257" ht="20" customHeight="1">
      <x:c r="A257" s="27" t="str">
        <x:v>HCL-IDS</x:v>
      </x:c>
      <x:c r="B257" s="30" t="str">
        <x:v>2016-01</x:v>
      </x:c>
      <x:c r="C257" s="51" t="n">
        <x:f>COUNT('原始数据'!$D$905,'原始数据'!$D$977,'原始数据'!$D$1049,'原始数据'!$D$1121)</x:f>
        <x:v>4</x:v>
      </x:c>
      <x:c r="D257" s="54" t="n">
        <x:f>AVERAGE('原始数据'!$D$905,'原始数据'!$D$977,'原始数据'!$D$1049,'原始数据'!$D$1121)</x:f>
        <x:v>0.890925</x:v>
      </x:c>
      <x:c r="E257" s="54" t="n">
        <x:f>AVERAGE('原始数据'!$E$905,'原始数据'!$E$977,'原始数据'!$E$1049,'原始数据'!$E$1121)</x:f>
        <x:v>0.17832499999999998</x:v>
      </x:c>
      <x:c r="F257" s="57" t="n">
        <x:f>MIN('原始数据'!$D$905,'原始数据'!$D$977,'原始数据'!$D$1049,'原始数据'!$D$1121)</x:f>
        <x:v>0.841</x:v>
      </x:c>
      <x:c r="G257" s="57" t="n">
        <x:f>MAX('原始数据'!$E$905,'原始数据'!$E$977,'原始数据'!$E$1049,'原始数据'!$E$1121)</x:f>
        <x:v>0.2477</x:v>
      </x:c>
      <x:c r="H257" s="60" t="n">
        <x:f>STDEV.P('原始数据'!$D$905,'原始数据'!$D$977,'原始数据'!$D$1049,'原始数据'!$D$1121)</x:f>
        <x:v>0.029293717329830313</x:v>
      </x:c>
      <x:c r="I257" s="63" t="n">
        <x:f>STDEV.P('原始数据'!$E$905,'原始数据'!$E$977,'原始数据'!$E$1049,'原始数据'!$E$1121)</x:f>
        <x:v>0.04138576899128492</x:v>
      </x:c>
    </x:row>
    <x:row r="258" ht="20" customHeight="1">
      <x:c r="A258" s="27" t="str">
        <x:v>HCL-IDS</x:v>
      </x:c>
      <x:c r="B258" s="30" t="str">
        <x:v>2016-02</x:v>
      </x:c>
      <x:c r="C258" s="51" t="n">
        <x:f>COUNT('原始数据'!$D$906,'原始数据'!$D$978,'原始数据'!$D$1050,'原始数据'!$D$1122)</x:f>
        <x:v>4</x:v>
      </x:c>
      <x:c r="D258" s="54" t="n">
        <x:f>AVERAGE('原始数据'!$D$906,'原始数据'!$D$978,'原始数据'!$D$1050,'原始数据'!$D$1122)</x:f>
        <x:v>0.9405749999999999</x:v>
      </x:c>
      <x:c r="E258" s="54" t="n">
        <x:f>AVERAGE('原始数据'!$E$906,'原始数据'!$E$978,'原始数据'!$E$1050,'原始数据'!$E$1122)</x:f>
        <x:v>0.08875</x:v>
      </x:c>
      <x:c r="F258" s="57" t="n">
        <x:f>MIN('原始数据'!$D$906,'原始数据'!$D$978,'原始数据'!$D$1050,'原始数据'!$D$1122)</x:f>
        <x:v>0.9332</x:v>
      </x:c>
      <x:c r="G258" s="57" t="n">
        <x:f>MAX('原始数据'!$E$906,'原始数据'!$E$978,'原始数据'!$E$1050,'原始数据'!$E$1122)</x:f>
        <x:v>0.0991</x:v>
      </x:c>
      <x:c r="H258" s="60" t="n">
        <x:f>STDEV.P('原始数据'!$D$906,'原始数据'!$D$978,'原始数据'!$D$1050,'原始数据'!$D$1122)</x:f>
        <x:v>0.004746775221136968</x:v>
      </x:c>
      <x:c r="I258" s="63" t="n">
        <x:f>STDEV.P('原始数据'!$E$906,'原始数据'!$E$978,'原始数据'!$E$1050,'原始数据'!$E$1122)</x:f>
        <x:v>0.005975575286112624</x:v>
      </x:c>
    </x:row>
    <x:row r="259" ht="20" customHeight="1">
      <x:c r="A259" s="27" t="str">
        <x:v>HCL-IDS</x:v>
      </x:c>
      <x:c r="B259" s="30" t="str">
        <x:v>2016-03</x:v>
      </x:c>
      <x:c r="C259" s="51" t="n">
        <x:f>COUNT('原始数据'!$D$907,'原始数据'!$D$979,'原始数据'!$D$1051,'原始数据'!$D$1123)</x:f>
        <x:v>4</x:v>
      </x:c>
      <x:c r="D259" s="54" t="n">
        <x:f>AVERAGE('原始数据'!$D$907,'原始数据'!$D$979,'原始数据'!$D$1051,'原始数据'!$D$1123)</x:f>
        <x:v>0.9379</x:v>
      </x:c>
      <x:c r="E259" s="54" t="n">
        <x:f>AVERAGE('原始数据'!$E$907,'原始数据'!$E$979,'原始数据'!$E$1051,'原始数据'!$E$1123)</x:f>
        <x:v>0.088875</x:v>
      </x:c>
      <x:c r="F259" s="57" t="n">
        <x:f>MIN('原始数据'!$D$907,'原始数据'!$D$979,'原始数据'!$D$1051,'原始数据'!$D$1123)</x:f>
        <x:v>0.9238</x:v>
      </x:c>
      <x:c r="G259" s="57" t="n">
        <x:f>MAX('原始数据'!$E$907,'原始数据'!$E$979,'原始数据'!$E$1051,'原始数据'!$E$1123)</x:f>
        <x:v>0.117</x:v>
      </x:c>
      <x:c r="H259" s="60" t="n">
        <x:f>STDEV.P('原始数据'!$D$907,'原始数据'!$D$979,'原始数据'!$D$1051,'原始数据'!$D$1123)</x:f>
        <x:v>0.010435037134576967</x:v>
      </x:c>
      <x:c r="I259" s="63" t="n">
        <x:f>STDEV.P('原始数据'!$E$907,'原始数据'!$E$979,'原始数据'!$E$1051,'原始数据'!$E$1123)</x:f>
        <x:v>0.0265434902565582</x:v>
      </x:c>
    </x:row>
    <x:row r="260" ht="20" customHeight="1">
      <x:c r="A260" s="27" t="str">
        <x:v>HCL-IDS</x:v>
      </x:c>
      <x:c r="B260" s="30" t="str">
        <x:v>2016-04</x:v>
      </x:c>
      <x:c r="C260" s="51" t="n">
        <x:f>COUNT('原始数据'!$D$908,'原始数据'!$D$980,'原始数据'!$D$1052,'原始数据'!$D$1124)</x:f>
        <x:v>4</x:v>
      </x:c>
      <x:c r="D260" s="54" t="n">
        <x:f>AVERAGE('原始数据'!$D$908,'原始数据'!$D$980,'原始数据'!$D$1052,'原始数据'!$D$1124)</x:f>
        <x:v>0.9142000000000001</x:v>
      </x:c>
      <x:c r="E260" s="54" t="n">
        <x:f>AVERAGE('原始数据'!$E$908,'原始数据'!$E$980,'原始数据'!$E$1052,'原始数据'!$E$1124)</x:f>
        <x:v>0.10475</x:v>
      </x:c>
      <x:c r="F260" s="57" t="n">
        <x:f>MIN('原始数据'!$D$908,'原始数据'!$D$980,'原始数据'!$D$1052,'原始数据'!$D$1124)</x:f>
        <x:v>0.891</x:v>
      </x:c>
      <x:c r="G260" s="57" t="n">
        <x:f>MAX('原始数据'!$E$908,'原始数据'!$E$980,'原始数据'!$E$1052,'原始数据'!$E$1124)</x:f>
        <x:v>0.1389</x:v>
      </x:c>
      <x:c r="H260" s="60" t="n">
        <x:f>STDEV.P('原始数据'!$D$908,'原始数据'!$D$980,'原始数据'!$D$1052,'原始数据'!$D$1124)</x:f>
        <x:v>0.021665294828365506</x:v>
      </x:c>
      <x:c r="I260" s="63" t="n">
        <x:f>STDEV.P('原始数据'!$E$908,'原始数据'!$E$980,'原始数据'!$E$1052,'原始数据'!$E$1124)</x:f>
        <x:v>0.03752629078392907</x:v>
      </x:c>
    </x:row>
    <x:row r="261" ht="20" customHeight="1">
      <x:c r="A261" s="27" t="str">
        <x:v>HCL-IDS</x:v>
      </x:c>
      <x:c r="B261" s="30" t="str">
        <x:v>2016-05</x:v>
      </x:c>
      <x:c r="C261" s="51" t="n">
        <x:f>COUNT('原始数据'!$D$909,'原始数据'!$D$981,'原始数据'!$D$1053,'原始数据'!$D$1125)</x:f>
        <x:v>4</x:v>
      </x:c>
      <x:c r="D261" s="54" t="n">
        <x:f>AVERAGE('原始数据'!$D$909,'原始数据'!$D$981,'原始数据'!$D$1053,'原始数据'!$D$1125)</x:f>
        <x:v>0.929725</x:v>
      </x:c>
      <x:c r="E261" s="54" t="n">
        <x:f>AVERAGE('原始数据'!$E$909,'原始数据'!$E$981,'原始数据'!$E$1053,'原始数据'!$E$1125)</x:f>
        <x:v>0.11270000000000001</x:v>
      </x:c>
      <x:c r="F261" s="57" t="n">
        <x:f>MIN('原始数据'!$D$909,'原始数据'!$D$981,'原始数据'!$D$1053,'原始数据'!$D$1125)</x:f>
        <x:v>0.9168</x:v>
      </x:c>
      <x:c r="G261" s="57" t="n">
        <x:f>MAX('原始数据'!$E$909,'原始数据'!$E$981,'原始数据'!$E$1053,'原始数据'!$E$1125)</x:f>
        <x:v>0.1426</x:v>
      </x:c>
      <x:c r="H261" s="60" t="n">
        <x:f>STDEV.P('原始数据'!$D$909,'原始数据'!$D$981,'原始数据'!$D$1053,'原始数据'!$D$1125)</x:f>
        <x:v>0.013150356459047035</x:v>
      </x:c>
      <x:c r="I261" s="63" t="n">
        <x:f>STDEV.P('原始数据'!$E$909,'原始数据'!$E$981,'原始数据'!$E$1053,'原始数据'!$E$1125)</x:f>
        <x:v>0.028770297183032367</x:v>
      </x:c>
    </x:row>
    <x:row r="262" ht="20" customHeight="1">
      <x:c r="A262" s="27" t="str">
        <x:v>HCL-IDS</x:v>
      </x:c>
      <x:c r="B262" s="30" t="str">
        <x:v>2016-06</x:v>
      </x:c>
      <x:c r="C262" s="51" t="n">
        <x:f>COUNT('原始数据'!$D$910,'原始数据'!$D$982,'原始数据'!$D$1054,'原始数据'!$D$1126)</x:f>
        <x:v>4</x:v>
      </x:c>
      <x:c r="D262" s="54" t="n">
        <x:f>AVERAGE('原始数据'!$D$910,'原始数据'!$D$982,'原始数据'!$D$1054,'原始数据'!$D$1126)</x:f>
        <x:v>0.9418</x:v>
      </x:c>
      <x:c r="E262" s="54" t="n">
        <x:f>AVERAGE('原始数据'!$E$910,'原始数据'!$E$982,'原始数据'!$E$1054,'原始数据'!$E$1126)</x:f>
        <x:v>0.08585</x:v>
      </x:c>
      <x:c r="F262" s="57" t="n">
        <x:f>MIN('原始数据'!$D$910,'原始数据'!$D$982,'原始数据'!$D$1054,'原始数据'!$D$1126)</x:f>
        <x:v>0.9302</x:v>
      </x:c>
      <x:c r="G262" s="57" t="n">
        <x:f>MAX('原始数据'!$E$910,'原始数据'!$E$982,'原始数据'!$E$1054,'原始数据'!$E$1126)</x:f>
        <x:v>0.1057</x:v>
      </x:c>
      <x:c r="H262" s="60" t="n">
        <x:f>STDEV.P('原始数据'!$D$910,'原始数据'!$D$982,'原始数据'!$D$1054,'原始数据'!$D$1126)</x:f>
        <x:v>0.008061017305526639</x:v>
      </x:c>
      <x:c r="I262" s="63" t="n">
        <x:f>STDEV.P('原始数据'!$E$910,'原始数据'!$E$982,'原始数据'!$E$1054,'原始数据'!$E$1126)</x:f>
        <x:v>0.015785198763398577</x:v>
      </x:c>
    </x:row>
    <x:row r="263" ht="20" customHeight="1">
      <x:c r="A263" s="27" t="str">
        <x:v>HCL-IDS</x:v>
      </x:c>
      <x:c r="B263" s="30" t="str">
        <x:v>2016-07</x:v>
      </x:c>
      <x:c r="C263" s="51" t="n">
        <x:f>COUNT('原始数据'!$D$911,'原始数据'!$D$983,'原始数据'!$D$1055,'原始数据'!$D$1127)</x:f>
        <x:v>4</x:v>
      </x:c>
      <x:c r="D263" s="54" t="n">
        <x:f>AVERAGE('原始数据'!$D$911,'原始数据'!$D$983,'原始数据'!$D$1055,'原始数据'!$D$1127)</x:f>
        <x:v>0.9393250000000001</x:v>
      </x:c>
      <x:c r="E263" s="54" t="n">
        <x:f>AVERAGE('原始数据'!$E$911,'原始数据'!$E$983,'原始数据'!$E$1055,'原始数据'!$E$1127)</x:f>
        <x:v>0.07795</x:v>
      </x:c>
      <x:c r="F263" s="57" t="n">
        <x:f>MIN('原始数据'!$D$911,'原始数据'!$D$983,'原始数据'!$D$1055,'原始数据'!$D$1127)</x:f>
        <x:v>0.933</x:v>
      </x:c>
      <x:c r="G263" s="57" t="n">
        <x:f>MAX('原始数据'!$E$911,'原始数据'!$E$983,'原始数据'!$E$1055,'原始数据'!$E$1127)</x:f>
        <x:v>0.0915</x:v>
      </x:c>
      <x:c r="H263" s="60" t="n">
        <x:f>STDEV.P('原始数据'!$D$911,'原始数据'!$D$983,'原始数据'!$D$1055,'原始数据'!$D$1127)</x:f>
        <x:v>0.004721956691881031</x:v>
      </x:c>
      <x:c r="I263" s="63" t="n">
        <x:f>STDEV.P('原始数据'!$E$911,'原始数据'!$E$983,'原始数据'!$E$1055,'原始数据'!$E$1127)</x:f>
        <x:v>0.011640983635415008</x:v>
      </x:c>
    </x:row>
    <x:row r="264" ht="20" customHeight="1">
      <x:c r="A264" s="27" t="str">
        <x:v>HCL-IDS</x:v>
      </x:c>
      <x:c r="B264" s="30" t="str">
        <x:v>2016-08</x:v>
      </x:c>
      <x:c r="C264" s="51" t="n">
        <x:f>COUNT('原始数据'!$D$912,'原始数据'!$D$984,'原始数据'!$D$1056,'原始数据'!$D$1128)</x:f>
        <x:v>4</x:v>
      </x:c>
      <x:c r="D264" s="54" t="n">
        <x:f>AVERAGE('原始数据'!$D$912,'原始数据'!$D$984,'原始数据'!$D$1056,'原始数据'!$D$1128)</x:f>
        <x:v>0.923325</x:v>
      </x:c>
      <x:c r="E264" s="54" t="n">
        <x:f>AVERAGE('原始数据'!$E$912,'原始数据'!$E$984,'原始数据'!$E$1056,'原始数据'!$E$1128)</x:f>
        <x:v>0.10212500000000001</x:v>
      </x:c>
      <x:c r="F264" s="57" t="n">
        <x:f>MIN('原始数据'!$D$912,'原始数据'!$D$984,'原始数据'!$D$1056,'原始数据'!$D$1128)</x:f>
        <x:v>0.9148</x:v>
      </x:c>
      <x:c r="G264" s="57" t="n">
        <x:f>MAX('原始数据'!$E$912,'原始数据'!$E$984,'原始数据'!$E$1056,'原始数据'!$E$1128)</x:f>
        <x:v>0.1328</x:v>
      </x:c>
      <x:c r="H264" s="60" t="n">
        <x:f>STDEV.P('原始数据'!$D$912,'原始数据'!$D$984,'原始数据'!$D$1056,'原始数据'!$D$1128)</x:f>
        <x:v>0.007971002132730859</x:v>
      </x:c>
      <x:c r="I264" s="63" t="n">
        <x:f>STDEV.P('原始数据'!$E$912,'原始数据'!$E$984,'原始数据'!$E$1056,'原始数据'!$E$1128)</x:f>
        <x:v>0.02259628011421349</x:v>
      </x:c>
    </x:row>
    <x:row r="265" ht="20" customHeight="1">
      <x:c r="A265" s="27" t="str">
        <x:v>HCL-IDS</x:v>
      </x:c>
      <x:c r="B265" s="30" t="str">
        <x:v>2016-09</x:v>
      </x:c>
      <x:c r="C265" s="51" t="n">
        <x:f>COUNT('原始数据'!$D$913,'原始数据'!$D$985,'原始数据'!$D$1057,'原始数据'!$D$1129)</x:f>
        <x:v>4</x:v>
      </x:c>
      <x:c r="D265" s="54" t="n">
        <x:f>AVERAGE('原始数据'!$D$913,'原始数据'!$D$985,'原始数据'!$D$1057,'原始数据'!$D$1129)</x:f>
        <x:v>0.925025</x:v>
      </x:c>
      <x:c r="E265" s="54" t="n">
        <x:f>AVERAGE('原始数据'!$E$913,'原始数据'!$E$985,'原始数据'!$E$1057,'原始数据'!$E$1129)</x:f>
        <x:v>0.120175</x:v>
      </x:c>
      <x:c r="F265" s="57" t="n">
        <x:f>MIN('原始数据'!$D$913,'原始数据'!$D$985,'原始数据'!$D$1057,'原始数据'!$D$1129)</x:f>
        <x:v>0.8814</x:v>
      </x:c>
      <x:c r="G265" s="57" t="n">
        <x:f>MAX('原始数据'!$E$913,'原始数据'!$E$985,'原始数据'!$E$1057,'原始数据'!$E$1129)</x:f>
        <x:v>0.2008</x:v>
      </x:c>
      <x:c r="H265" s="60" t="n">
        <x:f>STDEV.P('原始数据'!$D$913,'原始数据'!$D$985,'原始数据'!$D$1057,'原始数据'!$D$1129)</x:f>
        <x:v>0.027028908135550006</x:v>
      </x:c>
      <x:c r="I265" s="63" t="n">
        <x:f>STDEV.P('原始数据'!$E$913,'原始数据'!$E$985,'原始数据'!$E$1057,'原始数据'!$E$1129)</x:f>
        <x:v>0.0501383772673189</x:v>
      </x:c>
    </x:row>
    <x:row r="266" ht="20" customHeight="1">
      <x:c r="A266" s="27" t="str">
        <x:v>HCL-IDS</x:v>
      </x:c>
      <x:c r="B266" s="30" t="str">
        <x:v>2016-10</x:v>
      </x:c>
      <x:c r="C266" s="51" t="n">
        <x:f>COUNT('原始数据'!$D$914,'原始数据'!$D$986,'原始数据'!$D$1058,'原始数据'!$D$1130)</x:f>
        <x:v>4</x:v>
      </x:c>
      <x:c r="D266" s="54" t="n">
        <x:f>AVERAGE('原始数据'!$D$914,'原始数据'!$D$986,'原始数据'!$D$1058,'原始数据'!$D$1130)</x:f>
        <x:v>0.9529000000000001</x:v>
      </x:c>
      <x:c r="E266" s="54" t="n">
        <x:f>AVERAGE('原始数据'!$E$914,'原始数据'!$E$986,'原始数据'!$E$1058,'原始数据'!$E$1130)</x:f>
        <x:v>0.063</x:v>
      </x:c>
      <x:c r="F266" s="57" t="n">
        <x:f>MIN('原始数据'!$D$914,'原始数据'!$D$986,'原始数据'!$D$1058,'原始数据'!$D$1130)</x:f>
        <x:v>0.9433</x:v>
      </x:c>
      <x:c r="G266" s="57" t="n">
        <x:f>MAX('原始数据'!$E$914,'原始数据'!$E$986,'原始数据'!$E$1058,'原始数据'!$E$1130)</x:f>
        <x:v>0.0874</x:v>
      </x:c>
      <x:c r="H266" s="60" t="n">
        <x:f>STDEV.P('原始数据'!$D$914,'原始数据'!$D$986,'原始数据'!$D$1058,'原始数据'!$D$1130)</x:f>
        <x:v>0.006775322870535397</x:v>
      </x:c>
      <x:c r="I266" s="63" t="n">
        <x:f>STDEV.P('原始数据'!$E$914,'原始数据'!$E$986,'原始数据'!$E$1058,'原始数据'!$E$1130)</x:f>
        <x:v>0.01731126800670592</x:v>
      </x:c>
    </x:row>
    <x:row r="267" ht="20" customHeight="1">
      <x:c r="A267" s="27" t="str">
        <x:v>HCL-IDS</x:v>
      </x:c>
      <x:c r="B267" s="30" t="str">
        <x:v>2016-11</x:v>
      </x:c>
      <x:c r="C267" s="51" t="n">
        <x:f>COUNT('原始数据'!$D$915,'原始数据'!$D$987,'原始数据'!$D$1059,'原始数据'!$D$1131)</x:f>
        <x:v>4</x:v>
      </x:c>
      <x:c r="D267" s="54" t="n">
        <x:f>AVERAGE('原始数据'!$D$915,'原始数据'!$D$987,'原始数据'!$D$1059,'原始数据'!$D$1131)</x:f>
        <x:v>0.945725</x:v>
      </x:c>
      <x:c r="E267" s="54" t="n">
        <x:f>AVERAGE('原始数据'!$E$915,'原始数据'!$E$987,'原始数据'!$E$1059,'原始数据'!$E$1131)</x:f>
        <x:v>0.0803</x:v>
      </x:c>
      <x:c r="F267" s="57" t="n">
        <x:f>MIN('原始数据'!$D$915,'原始数据'!$D$987,'原始数据'!$D$1059,'原始数据'!$D$1131)</x:f>
        <x:v>0.935</x:v>
      </x:c>
      <x:c r="G267" s="57" t="n">
        <x:f>MAX('原始数据'!$E$915,'原始数据'!$E$987,'原始数据'!$E$1059,'原始数据'!$E$1131)</x:f>
        <x:v>0.1061</x:v>
      </x:c>
      <x:c r="H267" s="60" t="n">
        <x:f>STDEV.P('原始数据'!$D$915,'原始数据'!$D$987,'原始数据'!$D$1059,'原始数据'!$D$1131)</x:f>
        <x:v>0.009040291754141552</x:v>
      </x:c>
      <x:c r="I267" s="63" t="n">
        <x:f>STDEV.P('原始数据'!$E$915,'原始数据'!$E$987,'原始数据'!$E$1059,'原始数据'!$E$1131)</x:f>
        <x:v>0.02173165893345467</x:v>
      </x:c>
    </x:row>
    <x:row r="268" ht="20" customHeight="1">
      <x:c r="A268" s="27" t="str">
        <x:v>HCL-IDS</x:v>
      </x:c>
      <x:c r="B268" s="30" t="str">
        <x:v>2016-12</x:v>
      </x:c>
      <x:c r="C268" s="51" t="n">
        <x:f>COUNT('原始数据'!$D$916,'原始数据'!$D$988,'原始数据'!$D$1060,'原始数据'!$D$1132)</x:f>
        <x:v>4</x:v>
      </x:c>
      <x:c r="D268" s="54" t="n">
        <x:f>AVERAGE('原始数据'!$D$916,'原始数据'!$D$988,'原始数据'!$D$1060,'原始数据'!$D$1132)</x:f>
        <x:v>0.8732500000000001</x:v>
      </x:c>
      <x:c r="E268" s="54" t="n">
        <x:f>AVERAGE('原始数据'!$E$916,'原始数据'!$E$988,'原始数据'!$E$1060,'原始数据'!$E$1132)</x:f>
        <x:v>0.200325</x:v>
      </x:c>
      <x:c r="F268" s="57" t="n">
        <x:f>MIN('原始数据'!$D$916,'原始数据'!$D$988,'原始数据'!$D$1060,'原始数据'!$D$1132)</x:f>
        <x:v>0.8632</x:v>
      </x:c>
      <x:c r="G268" s="57" t="n">
        <x:f>MAX('原始数据'!$E$916,'原始数据'!$E$988,'原始数据'!$E$1060,'原始数据'!$E$1132)</x:f>
        <x:v>0.215</x:v>
      </x:c>
      <x:c r="H268" s="60" t="n">
        <x:f>STDEV.P('原始数据'!$D$916,'原始数据'!$D$988,'原始数据'!$D$1060,'原始数据'!$D$1132)</x:f>
        <x:v>0.006184456322103042</x:v>
      </x:c>
      <x:c r="I268" s="63" t="n">
        <x:f>STDEV.P('原始数据'!$E$916,'原始数据'!$E$988,'原始数据'!$E$1060,'原始数据'!$E$1132)</x:f>
        <x:v>0.012527444871161872</x:v>
      </x:c>
    </x:row>
    <x:row r="269" ht="20" customHeight="1">
      <x:c r="A269" s="27" t="str">
        <x:v>HCL-IDS</x:v>
      </x:c>
      <x:c r="B269" s="30" t="str">
        <x:v>2017-01</x:v>
      </x:c>
      <x:c r="C269" s="51" t="n">
        <x:f>COUNT('原始数据'!$D$917,'原始数据'!$D$989,'原始数据'!$D$1061,'原始数据'!$D$1133)</x:f>
        <x:v>4</x:v>
      </x:c>
      <x:c r="D269" s="54" t="n">
        <x:f>AVERAGE('原始数据'!$D$917,'原始数据'!$D$989,'原始数据'!$D$1061,'原始数据'!$D$1133)</x:f>
        <x:v>0.9164000000000001</x:v>
      </x:c>
      <x:c r="E269" s="54" t="n">
        <x:f>AVERAGE('原始数据'!$E$917,'原始数据'!$E$989,'原始数据'!$E$1061,'原始数据'!$E$1133)</x:f>
        <x:v>0.110175</x:v>
      </x:c>
      <x:c r="F269" s="57" t="n">
        <x:f>MIN('原始数据'!$D$917,'原始数据'!$D$989,'原始数据'!$D$1061,'原始数据'!$D$1133)</x:f>
        <x:v>0.8856</x:v>
      </x:c>
      <x:c r="G269" s="57" t="n">
        <x:f>MAX('原始数据'!$E$917,'原始数据'!$E$989,'原始数据'!$E$1061,'原始数据'!$E$1133)</x:f>
        <x:v>0.1656</x:v>
      </x:c>
      <x:c r="H269" s="60" t="n">
        <x:f>STDEV.P('原始数据'!$D$917,'原始数据'!$D$989,'原始数据'!$D$1061,'原始数据'!$D$1133)</x:f>
        <x:v>0.01783577864854794</x:v>
      </x:c>
      <x:c r="I269" s="63" t="n">
        <x:f>STDEV.P('原始数据'!$E$917,'原始数据'!$E$989,'原始数据'!$E$1061,'原始数据'!$E$1133)</x:f>
        <x:v>0.03380328201521266</x:v>
      </x:c>
    </x:row>
    <x:row r="270" ht="20" customHeight="1">
      <x:c r="A270" s="27" t="str">
        <x:v>HCL-IDS</x:v>
      </x:c>
      <x:c r="B270" s="30" t="str">
        <x:v>2017-02</x:v>
      </x:c>
      <x:c r="C270" s="51" t="n">
        <x:f>COUNT('原始数据'!$D$918,'原始数据'!$D$990,'原始数据'!$D$1062,'原始数据'!$D$1134)</x:f>
        <x:v>4</x:v>
      </x:c>
      <x:c r="D270" s="54" t="n">
        <x:f>AVERAGE('原始数据'!$D$918,'原始数据'!$D$990,'原始数据'!$D$1062,'原始数据'!$D$1134)</x:f>
        <x:v>0.926725</x:v>
      </x:c>
      <x:c r="E270" s="54" t="n">
        <x:f>AVERAGE('原始数据'!$E$918,'原始数据'!$E$990,'原始数据'!$E$1062,'原始数据'!$E$1134)</x:f>
        <x:v>0.101925</x:v>
      </x:c>
      <x:c r="F270" s="57" t="n">
        <x:f>MIN('原始数据'!$D$918,'原始数据'!$D$990,'原始数据'!$D$1062,'原始数据'!$D$1134)</x:f>
        <x:v>0.897</x:v>
      </x:c>
      <x:c r="G270" s="57" t="n">
        <x:f>MAX('原始数据'!$E$918,'原始数据'!$E$990,'原始数据'!$E$1062,'原始数据'!$E$1134)</x:f>
        <x:v>0.1603</x:v>
      </x:c>
      <x:c r="H270" s="60" t="n">
        <x:f>STDEV.P('原始数据'!$D$918,'原始数据'!$D$990,'原始数据'!$D$1062,'原始数据'!$D$1134)</x:f>
        <x:v>0.018771171380603805</x:v>
      </x:c>
      <x:c r="I270" s="63" t="n">
        <x:f>STDEV.P('原始数据'!$E$918,'原始数据'!$E$990,'原始数据'!$E$1062,'原始数据'!$E$1134)</x:f>
        <x:v>0.036049297843369986</x:v>
      </x:c>
    </x:row>
    <x:row r="271" ht="20" customHeight="1">
      <x:c r="A271" s="27" t="str">
        <x:v>HCL-IDS</x:v>
      </x:c>
      <x:c r="B271" s="30" t="str">
        <x:v>2017-03</x:v>
      </x:c>
      <x:c r="C271" s="51" t="n">
        <x:f>COUNT('原始数据'!$D$919,'原始数据'!$D$991,'原始数据'!$D$1063,'原始数据'!$D$1135)</x:f>
        <x:v>4</x:v>
      </x:c>
      <x:c r="D271" s="54" t="n">
        <x:f>AVERAGE('原始数据'!$D$919,'原始数据'!$D$991,'原始数据'!$D$1063,'原始数据'!$D$1135)</x:f>
        <x:v>0.887375</x:v>
      </x:c>
      <x:c r="E271" s="54" t="n">
        <x:f>AVERAGE('原始数据'!$E$919,'原始数据'!$E$991,'原始数据'!$E$1063,'原始数据'!$E$1135)</x:f>
        <x:v>0.118975</x:v>
      </x:c>
      <x:c r="F271" s="57" t="n">
        <x:f>MIN('原始数据'!$D$919,'原始数据'!$D$991,'原始数据'!$D$1063,'原始数据'!$D$1135)</x:f>
        <x:v>0.854</x:v>
      </x:c>
      <x:c r="G271" s="57" t="n">
        <x:f>MAX('原始数据'!$E$919,'原始数据'!$E$991,'原始数据'!$E$1063,'原始数据'!$E$1135)</x:f>
        <x:v>0.1717</x:v>
      </x:c>
      <x:c r="H271" s="60" t="n">
        <x:f>STDEV.P('原始数据'!$D$919,'原始数据'!$D$991,'原始数据'!$D$1063,'原始数据'!$D$1135)</x:f>
        <x:v>0.02034531579995752</x:v>
      </x:c>
      <x:c r="I271" s="63" t="n">
        <x:f>STDEV.P('原始数据'!$E$919,'原始数据'!$E$991,'原始数据'!$E$1063,'原始数据'!$E$1135)</x:f>
        <x:v>0.03503422433849506</x:v>
      </x:c>
    </x:row>
    <x:row r="272" ht="20" customHeight="1">
      <x:c r="A272" s="27" t="str">
        <x:v>HCL-IDS</x:v>
      </x:c>
      <x:c r="B272" s="30" t="str">
        <x:v>2017-04</x:v>
      </x:c>
      <x:c r="C272" s="51" t="n">
        <x:f>COUNT('原始数据'!$D$920,'原始数据'!$D$992,'原始数据'!$D$1064,'原始数据'!$D$1136)</x:f>
        <x:v>4</x:v>
      </x:c>
      <x:c r="D272" s="54" t="n">
        <x:f>AVERAGE('原始数据'!$D$920,'原始数据'!$D$992,'原始数据'!$D$1064,'原始数据'!$D$1136)</x:f>
        <x:v>0.8564</x:v>
      </x:c>
      <x:c r="E272" s="54" t="n">
        <x:f>AVERAGE('原始数据'!$E$920,'原始数据'!$E$992,'原始数据'!$E$1064,'原始数据'!$E$1136)</x:f>
        <x:v>0.209675</x:v>
      </x:c>
      <x:c r="F272" s="57" t="n">
        <x:f>MIN('原始数据'!$D$920,'原始数据'!$D$992,'原始数据'!$D$1064,'原始数据'!$D$1136)</x:f>
        <x:v>0.8369</x:v>
      </x:c>
      <x:c r="G272" s="57" t="n">
        <x:f>MAX('原始数据'!$E$920,'原始数据'!$E$992,'原始数据'!$E$1064,'原始数据'!$E$1136)</x:f>
        <x:v>0.2387</x:v>
      </x:c>
      <x:c r="H272" s="60" t="n">
        <x:f>STDEV.P('原始数据'!$D$920,'原始数据'!$D$992,'原始数据'!$D$1064,'原始数据'!$D$1136)</x:f>
        <x:v>0.018984335648107382</x:v>
      </x:c>
      <x:c r="I272" s="63" t="n">
        <x:f>STDEV.P('原始数据'!$E$920,'原始数据'!$E$992,'原始数据'!$E$1064,'原始数据'!$E$1136)</x:f>
        <x:v>0.029381148292740366</x:v>
      </x:c>
    </x:row>
    <x:row r="273" ht="20" customHeight="1">
      <x:c r="A273" s="27" t="str">
        <x:v>HCL-IDS</x:v>
      </x:c>
      <x:c r="B273" s="30" t="str">
        <x:v>2017-05</x:v>
      </x:c>
      <x:c r="C273" s="51" t="n">
        <x:f>COUNT('原始数据'!$D$921,'原始数据'!$D$993,'原始数据'!$D$1065,'原始数据'!$D$1137)</x:f>
        <x:v>4</x:v>
      </x:c>
      <x:c r="D273" s="54" t="n">
        <x:f>AVERAGE('原始数据'!$D$921,'原始数据'!$D$993,'原始数据'!$D$1065,'原始数据'!$D$1137)</x:f>
        <x:v>0.88425</x:v>
      </x:c>
      <x:c r="E273" s="54" t="n">
        <x:f>AVERAGE('原始数据'!$E$921,'原始数据'!$E$993,'原始数据'!$E$1065,'原始数据'!$E$1137)</x:f>
        <x:v>0.169175</x:v>
      </x:c>
      <x:c r="F273" s="57" t="n">
        <x:f>MIN('原始数据'!$D$921,'原始数据'!$D$993,'原始数据'!$D$1065,'原始数据'!$D$1137)</x:f>
        <x:v>0.8587</x:v>
      </x:c>
      <x:c r="G273" s="57" t="n">
        <x:f>MAX('原始数据'!$E$921,'原始数据'!$E$993,'原始数据'!$E$1065,'原始数据'!$E$1137)</x:f>
        <x:v>0.202</x:v>
      </x:c>
      <x:c r="H273" s="60" t="n">
        <x:f>STDEV.P('原始数据'!$D$921,'原始数据'!$D$993,'原始数据'!$D$1065,'原始数据'!$D$1137)</x:f>
        <x:v>0.01547102129789756</x:v>
      </x:c>
      <x:c r="I273" s="63" t="n">
        <x:f>STDEV.P('原始数据'!$E$921,'原始数据'!$E$993,'原始数据'!$E$1065,'原始数据'!$E$1137)</x:f>
        <x:v>0.02611880309279122</x:v>
      </x:c>
    </x:row>
    <x:row r="274" ht="20" customHeight="1">
      <x:c r="A274" s="27" t="str">
        <x:v>HCL-IDS</x:v>
      </x:c>
      <x:c r="B274" s="30" t="str">
        <x:v>2017-06</x:v>
      </x:c>
      <x:c r="C274" s="51" t="n">
        <x:f>COUNT('原始数据'!$D$922,'原始数据'!$D$994,'原始数据'!$D$1066,'原始数据'!$D$1138)</x:f>
        <x:v>4</x:v>
      </x:c>
      <x:c r="D274" s="54" t="n">
        <x:f>AVERAGE('原始数据'!$D$922,'原始数据'!$D$994,'原始数据'!$D$1066,'原始数据'!$D$1138)</x:f>
        <x:v>0.8745250000000001</x:v>
      </x:c>
      <x:c r="E274" s="54" t="n">
        <x:f>AVERAGE('原始数据'!$E$922,'原始数据'!$E$994,'原始数据'!$E$1066,'原始数据'!$E$1138)</x:f>
        <x:v>0.177</x:v>
      </x:c>
      <x:c r="F274" s="57" t="n">
        <x:f>MIN('原始数据'!$D$922,'原始数据'!$D$994,'原始数据'!$D$1066,'原始数据'!$D$1138)</x:f>
        <x:v>0.81</x:v>
      </x:c>
      <x:c r="G274" s="57" t="n">
        <x:f>MAX('原始数据'!$E$922,'原始数据'!$E$994,'原始数据'!$E$1066,'原始数据'!$E$1138)</x:f>
        <x:v>0.2832</x:v>
      </x:c>
      <x:c r="H274" s="60" t="n">
        <x:f>STDEV.P('原始数据'!$D$922,'原始数据'!$D$994,'原始数据'!$D$1066,'原始数据'!$D$1138)</x:f>
        <x:v>0.04609627832048916</x:v>
      </x:c>
      <x:c r="I274" s="63" t="n">
        <x:f>STDEV.P('原始数据'!$E$922,'原始数据'!$E$994,'原始数据'!$E$1066,'原始数据'!$E$1138)</x:f>
        <x:v>0.07509474016201136</x:v>
      </x:c>
    </x:row>
    <x:row r="275" ht="20" customHeight="1">
      <x:c r="A275" s="27" t="str">
        <x:v>HCL-IDS</x:v>
      </x:c>
      <x:c r="B275" s="30" t="str">
        <x:v>2017-07</x:v>
      </x:c>
      <x:c r="C275" s="51" t="n">
        <x:f>COUNT('原始数据'!$D$923,'原始数据'!$D$995,'原始数据'!$D$1067,'原始数据'!$D$1139)</x:f>
        <x:v>4</x:v>
      </x:c>
      <x:c r="D275" s="54" t="n">
        <x:f>AVERAGE('原始数据'!$D$923,'原始数据'!$D$995,'原始数据'!$D$1067,'原始数据'!$D$1139)</x:f>
        <x:v>0.856425</x:v>
      </x:c>
      <x:c r="E275" s="54" t="n">
        <x:f>AVERAGE('原始数据'!$E$923,'原始数据'!$E$995,'原始数据'!$E$1067,'原始数据'!$E$1139)</x:f>
        <x:v>0.12165</x:v>
      </x:c>
      <x:c r="F275" s="57" t="n">
        <x:f>MIN('原始数据'!$D$923,'原始数据'!$D$995,'原始数据'!$D$1067,'原始数据'!$D$1139)</x:f>
        <x:v>0.8254</x:v>
      </x:c>
      <x:c r="G275" s="57" t="n">
        <x:f>MAX('原始数据'!$E$923,'原始数据'!$E$995,'原始数据'!$E$1067,'原始数据'!$E$1139)</x:f>
        <x:v>0.1658</x:v>
      </x:c>
      <x:c r="H275" s="60" t="n">
        <x:f>STDEV.P('原始数据'!$D$923,'原始数据'!$D$995,'原始数据'!$D$1067,'原始数据'!$D$1139)</x:f>
        <x:v>0.021496554956550593</x:v>
      </x:c>
      <x:c r="I275" s="63" t="n">
        <x:f>STDEV.P('原始数据'!$E$923,'原始数据'!$E$995,'原始数据'!$E$1067,'原始数据'!$E$1139)</x:f>
        <x:v>0.02864275650142633</x:v>
      </x:c>
    </x:row>
    <x:row r="276" ht="20" customHeight="1">
      <x:c r="A276" s="27" t="str">
        <x:v>HCL-IDS</x:v>
      </x:c>
      <x:c r="B276" s="30" t="str">
        <x:v>2017-08</x:v>
      </x:c>
      <x:c r="C276" s="51" t="n">
        <x:f>COUNT('原始数据'!$D$924,'原始数据'!$D$996,'原始数据'!$D$1068,'原始数据'!$D$1140)</x:f>
        <x:v>4</x:v>
      </x:c>
      <x:c r="D276" s="54" t="n">
        <x:f>AVERAGE('原始数据'!$D$924,'原始数据'!$D$996,'原始数据'!$D$1068,'原始数据'!$D$1140)</x:f>
        <x:v>0.95185</x:v>
      </x:c>
      <x:c r="E276" s="54" t="n">
        <x:f>AVERAGE('原始数据'!$E$924,'原始数据'!$E$996,'原始数据'!$E$1068,'原始数据'!$E$1140)</x:f>
        <x:v>0.04815</x:v>
      </x:c>
      <x:c r="F276" s="57" t="n">
        <x:f>MIN('原始数据'!$D$924,'原始数据'!$D$996,'原始数据'!$D$1068,'原始数据'!$D$1140)</x:f>
        <x:v>0.9422</x:v>
      </x:c>
      <x:c r="G276" s="57" t="n">
        <x:f>MAX('原始数据'!$E$924,'原始数据'!$E$996,'原始数据'!$E$1068,'原始数据'!$E$1140)</x:f>
        <x:v>0.0642</x:v>
      </x:c>
      <x:c r="H276" s="60" t="n">
        <x:f>STDEV.P('原始数据'!$D$924,'原始数据'!$D$996,'原始数据'!$D$1068,'原始数据'!$D$1140)</x:f>
        <x:v>0.007312489316231496</x:v>
      </x:c>
      <x:c r="I276" s="63" t="n">
        <x:f>STDEV.P('原始数据'!$E$924,'原始数据'!$E$996,'原始数据'!$E$1068,'原始数据'!$E$1140)</x:f>
        <x:v>0.009953516966379269</x:v>
      </x:c>
    </x:row>
    <x:row r="277" ht="20" customHeight="1">
      <x:c r="A277" s="27" t="str">
        <x:v>HCL-IDS</x:v>
      </x:c>
      <x:c r="B277" s="30" t="str">
        <x:v>2017-09</x:v>
      </x:c>
      <x:c r="C277" s="51" t="n">
        <x:f>COUNT('原始数据'!$D$925,'原始数据'!$D$997,'原始数据'!$D$1069,'原始数据'!$D$1141)</x:f>
        <x:v>4</x:v>
      </x:c>
      <x:c r="D277" s="54" t="n">
        <x:f>AVERAGE('原始数据'!$D$925,'原始数据'!$D$997,'原始数据'!$D$1069,'原始数据'!$D$1141)</x:f>
        <x:v>0.918925</x:v>
      </x:c>
      <x:c r="E277" s="54" t="n">
        <x:f>AVERAGE('原始数据'!$E$925,'原始数据'!$E$997,'原始数据'!$E$1069,'原始数据'!$E$1141)</x:f>
        <x:v>0.07802500000000001</x:v>
      </x:c>
      <x:c r="F277" s="57" t="n">
        <x:f>MIN('原始数据'!$D$925,'原始数据'!$D$997,'原始数据'!$D$1069,'原始数据'!$D$1141)</x:f>
        <x:v>0.8968</x:v>
      </x:c>
      <x:c r="G277" s="57" t="n">
        <x:f>MAX('原始数据'!$E$925,'原始数据'!$E$997,'原始数据'!$E$1069,'原始数据'!$E$1141)</x:f>
        <x:v>0.1146</x:v>
      </x:c>
      <x:c r="H277" s="60" t="n">
        <x:f>STDEV.P('原始数据'!$D$925,'原始数据'!$D$997,'原始数据'!$D$1069,'原始数据'!$D$1141)</x:f>
        <x:v>0.01282212443396178</x:v>
      </x:c>
      <x:c r="I277" s="63" t="n">
        <x:f>STDEV.P('原始数据'!$E$925,'原始数据'!$E$997,'原始数据'!$E$1069,'原始数据'!$E$1141)</x:f>
        <x:v>0.02127761441045494</x:v>
      </x:c>
    </x:row>
    <x:row r="278" ht="20" customHeight="1">
      <x:c r="A278" s="27" t="str">
        <x:v>HCL-IDS</x:v>
      </x:c>
      <x:c r="B278" s="30" t="str">
        <x:v>2017-10</x:v>
      </x:c>
      <x:c r="C278" s="51" t="n">
        <x:f>COUNT('原始数据'!$D$926,'原始数据'!$D$998,'原始数据'!$D$1070,'原始数据'!$D$1142)</x:f>
        <x:v>4</x:v>
      </x:c>
      <x:c r="D278" s="54" t="n">
        <x:f>AVERAGE('原始数据'!$D$926,'原始数据'!$D$998,'原始数据'!$D$1070,'原始数据'!$D$1142)</x:f>
        <x:v>0.9126500000000001</x:v>
      </x:c>
      <x:c r="E278" s="54" t="n">
        <x:f>AVERAGE('原始数据'!$E$926,'原始数据'!$E$998,'原始数据'!$E$1070,'原始数据'!$E$1142)</x:f>
        <x:v>0.11875</x:v>
      </x:c>
      <x:c r="F278" s="57" t="n">
        <x:f>MIN('原始数据'!$D$926,'原始数据'!$D$998,'原始数据'!$D$1070,'原始数据'!$D$1142)</x:f>
        <x:v>0.88</x:v>
      </x:c>
      <x:c r="G278" s="57" t="n">
        <x:f>MAX('原始数据'!$E$926,'原始数据'!$E$998,'原始数据'!$E$1070,'原始数据'!$E$1142)</x:f>
        <x:v>0.1538</x:v>
      </x:c>
      <x:c r="H278" s="60" t="n">
        <x:f>STDEV.P('原始数据'!$D$926,'原始数据'!$D$998,'原始数据'!$D$1070,'原始数据'!$D$1142)</x:f>
        <x:v>0.01952568820810166</x:v>
      </x:c>
      <x:c r="I278" s="63" t="n">
        <x:f>STDEV.P('原始数据'!$E$926,'原始数据'!$E$998,'原始数据'!$E$1070,'原始数据'!$E$1142)</x:f>
        <x:v>0.02154303831867733</x:v>
      </x:c>
    </x:row>
    <x:row r="279" ht="20" customHeight="1">
      <x:c r="A279" s="27" t="str">
        <x:v>HCL-IDS</x:v>
      </x:c>
      <x:c r="B279" s="30" t="str">
        <x:v>2017-11</x:v>
      </x:c>
      <x:c r="C279" s="51" t="n">
        <x:f>COUNT('原始数据'!$D$927,'原始数据'!$D$999,'原始数据'!$D$1071,'原始数据'!$D$1143)</x:f>
        <x:v>4</x:v>
      </x:c>
      <x:c r="D279" s="54" t="n">
        <x:f>AVERAGE('原始数据'!$D$927,'原始数据'!$D$999,'原始数据'!$D$1071,'原始数据'!$D$1143)</x:f>
        <x:v>0.9107</x:v>
      </x:c>
      <x:c r="E279" s="54" t="n">
        <x:f>AVERAGE('原始数据'!$E$927,'原始数据'!$E$999,'原始数据'!$E$1071,'原始数据'!$E$1143)</x:f>
        <x:v>0.081525</x:v>
      </x:c>
      <x:c r="F279" s="57" t="n">
        <x:f>MIN('原始数据'!$D$927,'原始数据'!$D$999,'原始数据'!$D$1071,'原始数据'!$D$1143)</x:f>
        <x:v>0.8778</x:v>
      </x:c>
      <x:c r="G279" s="57" t="n">
        <x:f>MAX('原始数据'!$E$927,'原始数据'!$E$999,'原始数据'!$E$1071,'原始数据'!$E$1143)</x:f>
        <x:v>0.1413</x:v>
      </x:c>
      <x:c r="H279" s="60" t="n">
        <x:f>STDEV.P('原始数据'!$D$927,'原始数据'!$D$999,'原始数据'!$D$1071,'原始数据'!$D$1143)</x:f>
        <x:v>0.01997723704619835</x:v>
      </x:c>
      <x:c r="I279" s="63" t="n">
        <x:f>STDEV.P('原始数据'!$E$927,'原始数据'!$E$999,'原始数据'!$E$1071,'原始数据'!$E$1143)</x:f>
        <x:v>0.03645163748036569</x:v>
      </x:c>
    </x:row>
    <x:row r="280" ht="20" customHeight="1">
      <x:c r="A280" s="27" t="str">
        <x:v>HCL-IDS</x:v>
      </x:c>
      <x:c r="B280" s="30" t="str">
        <x:v>2017-12</x:v>
      </x:c>
      <x:c r="C280" s="51" t="n">
        <x:f>COUNT('原始数据'!$D$928,'原始数据'!$D$1000,'原始数据'!$D$1072,'原始数据'!$D$1144)</x:f>
        <x:v>4</x:v>
      </x:c>
      <x:c r="D280" s="54" t="n">
        <x:f>AVERAGE('原始数据'!$D$928,'原始数据'!$D$1000,'原始数据'!$D$1072,'原始数据'!$D$1144)</x:f>
        <x:v>0.8984</x:v>
      </x:c>
      <x:c r="E280" s="54" t="n">
        <x:f>AVERAGE('原始数据'!$E$928,'原始数据'!$E$1000,'原始数据'!$E$1072,'原始数据'!$E$1144)</x:f>
        <x:v>0.054</x:v>
      </x:c>
      <x:c r="F280" s="57" t="n">
        <x:f>MIN('原始数据'!$D$928,'原始数据'!$D$1000,'原始数据'!$D$1072,'原始数据'!$D$1144)</x:f>
        <x:v>0.883</x:v>
      </x:c>
      <x:c r="G280" s="57" t="n">
        <x:f>MAX('原始数据'!$E$928,'原始数据'!$E$1000,'原始数据'!$E$1072,'原始数据'!$E$1144)</x:f>
        <x:v>0.064</x:v>
      </x:c>
      <x:c r="H280" s="60" t="n">
        <x:f>STDEV.P('原始数据'!$D$928,'原始数据'!$D$1000,'原始数据'!$D$1072,'原始数据'!$D$1144)</x:f>
        <x:v>0.009754742436374218</x:v>
      </x:c>
      <x:c r="I280" s="63" t="n">
        <x:f>STDEV.P('原始数据'!$E$928,'原始数据'!$E$1000,'原始数据'!$E$1072,'原始数据'!$E$1144)</x:f>
        <x:v>0.0066332495807108005</x:v>
      </x:c>
    </x:row>
    <x:row r="281" ht="20" customHeight="1">
      <x:c r="A281" s="27" t="str">
        <x:v>HCL-IDS</x:v>
      </x:c>
      <x:c r="B281" s="30" t="str">
        <x:v>2018-01</x:v>
      </x:c>
      <x:c r="C281" s="51" t="n">
        <x:f>COUNT('原始数据'!$D$929,'原始数据'!$D$1001,'原始数据'!$D$1073,'原始数据'!$D$1145)</x:f>
        <x:v>4</x:v>
      </x:c>
      <x:c r="D281" s="54" t="n">
        <x:f>AVERAGE('原始数据'!$D$929,'原始数据'!$D$1001,'原始数据'!$D$1073,'原始数据'!$D$1145)</x:f>
        <x:v>0.9160250000000001</x:v>
      </x:c>
      <x:c r="E281" s="54" t="n">
        <x:f>AVERAGE('原始数据'!$E$929,'原始数据'!$E$1001,'原始数据'!$E$1073,'原始数据'!$E$1145)</x:f>
        <x:v>0.099675</x:v>
      </x:c>
      <x:c r="F281" s="57" t="n">
        <x:f>MIN('原始数据'!$D$929,'原始数据'!$D$1001,'原始数据'!$D$1073,'原始数据'!$D$1145)</x:f>
        <x:v>0.9</x:v>
      </x:c>
      <x:c r="G281" s="57" t="n">
        <x:f>MAX('原始数据'!$E$929,'原始数据'!$E$1001,'原始数据'!$E$1073,'原始数据'!$E$1145)</x:f>
        <x:v>0.1176</x:v>
      </x:c>
      <x:c r="H281" s="60" t="n">
        <x:f>STDEV.P('原始数据'!$D$929,'原始数据'!$D$1001,'原始数据'!$D$1073,'原始数据'!$D$1145)</x:f>
        <x:v>0.010724358955201007</x:v>
      </x:c>
      <x:c r="I281" s="63" t="n">
        <x:f>STDEV.P('原始数据'!$E$929,'原始数据'!$E$1001,'原始数据'!$E$1073,'原始数据'!$E$1145)</x:f>
        <x:v>0.012527444871161872</x:v>
      </x:c>
    </x:row>
    <x:row r="282" ht="20" customHeight="1">
      <x:c r="A282" s="27" t="str">
        <x:v>HCL-IDS</x:v>
      </x:c>
      <x:c r="B282" s="30" t="str">
        <x:v>2018-02</x:v>
      </x:c>
      <x:c r="C282" s="51" t="n">
        <x:f>COUNT('原始数据'!$D$930,'原始数据'!$D$1002,'原始数据'!$D$1074,'原始数据'!$D$1146)</x:f>
        <x:v>4</x:v>
      </x:c>
      <x:c r="D282" s="54" t="n">
        <x:f>AVERAGE('原始数据'!$D$930,'原始数据'!$D$1002,'原始数据'!$D$1074,'原始数据'!$D$1146)</x:f>
        <x:v>0.9278500000000001</x:v>
      </x:c>
      <x:c r="E282" s="54" t="n">
        <x:f>AVERAGE('原始数据'!$E$930,'原始数据'!$E$1002,'原始数据'!$E$1074,'原始数据'!$E$1146)</x:f>
        <x:v>0.101725</x:v>
      </x:c>
      <x:c r="F282" s="57" t="n">
        <x:f>MIN('原始数据'!$D$930,'原始数据'!$D$1002,'原始数据'!$D$1074,'原始数据'!$D$1146)</x:f>
        <x:v>0.9085</x:v>
      </x:c>
      <x:c r="G282" s="57" t="n">
        <x:f>MAX('原始数据'!$E$930,'原始数据'!$E$1002,'原始数据'!$E$1074,'原始数据'!$E$1146)</x:f>
        <x:v>0.131</x:v>
      </x:c>
      <x:c r="H282" s="60" t="n">
        <x:f>STDEV.P('原始数据'!$D$930,'原始数据'!$D$1002,'原始数据'!$D$1074,'原始数据'!$D$1146)</x:f>
        <x:v>0.017213439516842653</x:v>
      </x:c>
      <x:c r="I282" s="63" t="n">
        <x:f>STDEV.P('原始数据'!$E$930,'原始数据'!$E$1002,'原始数据'!$E$1074,'原始数据'!$E$1146)</x:f>
        <x:v>0.020290807647799534</x:v>
      </x:c>
    </x:row>
    <x:row r="283" ht="20" customHeight="1">
      <x:c r="A283" s="27" t="str">
        <x:v>HCL-IDS</x:v>
      </x:c>
      <x:c r="B283" s="30" t="str">
        <x:v>2018-03</x:v>
      </x:c>
      <x:c r="C283" s="51" t="n">
        <x:f>COUNT('原始数据'!$D$931,'原始数据'!$D$1003,'原始数据'!$D$1075,'原始数据'!$D$1147)</x:f>
        <x:v>4</x:v>
      </x:c>
      <x:c r="D283" s="54" t="n">
        <x:f>AVERAGE('原始数据'!$D$931,'原始数据'!$D$1003,'原始数据'!$D$1075,'原始数据'!$D$1147)</x:f>
        <x:v>0.923975</x:v>
      </x:c>
      <x:c r="E283" s="54" t="n">
        <x:f>AVERAGE('原始数据'!$E$931,'原始数据'!$E$1003,'原始数据'!$E$1075,'原始数据'!$E$1147)</x:f>
        <x:v>0.08027499999999999</x:v>
      </x:c>
      <x:c r="F283" s="57" t="n">
        <x:f>MIN('原始数据'!$D$931,'原始数据'!$D$1003,'原始数据'!$D$1075,'原始数据'!$D$1147)</x:f>
        <x:v>0.9031</x:v>
      </x:c>
      <x:c r="G283" s="57" t="n">
        <x:f>MAX('原始数据'!$E$931,'原始数据'!$E$1003,'原始数据'!$E$1075,'原始数据'!$E$1147)</x:f>
        <x:v>0.0985</x:v>
      </x:c>
      <x:c r="H283" s="60" t="n">
        <x:f>STDEV.P('原始数据'!$D$931,'原始数据'!$D$1003,'原始数据'!$D$1075,'原始数据'!$D$1147)</x:f>
        <x:v>0.012531834462679445</x:v>
      </x:c>
      <x:c r="I283" s="63" t="n">
        <x:f>STDEV.P('原始数据'!$E$931,'原始数据'!$E$1003,'原始数据'!$E$1075,'原始数据'!$E$1147)</x:f>
        <x:v>0.011241969355944716</x:v>
      </x:c>
    </x:row>
    <x:row r="284" ht="20" customHeight="1">
      <x:c r="A284" s="27" t="str">
        <x:v>HCL-IDS</x:v>
      </x:c>
      <x:c r="B284" s="30" t="str">
        <x:v>2018-04</x:v>
      </x:c>
      <x:c r="C284" s="51" t="n">
        <x:f>COUNT('原始数据'!$D$932,'原始数据'!$D$1004,'原始数据'!$D$1076,'原始数据'!$D$1148)</x:f>
        <x:v>4</x:v>
      </x:c>
      <x:c r="D284" s="54" t="n">
        <x:f>AVERAGE('原始数据'!$D$932,'原始数据'!$D$1004,'原始数据'!$D$1076,'原始数据'!$D$1148)</x:f>
        <x:v>0.93825</x:v>
      </x:c>
      <x:c r="E284" s="54" t="n">
        <x:f>AVERAGE('原始数据'!$E$932,'原始数据'!$E$1004,'原始数据'!$E$1076,'原始数据'!$E$1148)</x:f>
        <x:v>0.066725</x:v>
      </x:c>
      <x:c r="F284" s="57" t="n">
        <x:f>MIN('原始数据'!$D$932,'原始数据'!$D$1004,'原始数据'!$D$1076,'原始数据'!$D$1148)</x:f>
        <x:v>0.9261</x:v>
      </x:c>
      <x:c r="G284" s="57" t="n">
        <x:f>MAX('原始数据'!$E$932,'原始数据'!$E$1004,'原始数据'!$E$1076,'原始数据'!$E$1148)</x:f>
        <x:v>0.0854</x:v>
      </x:c>
      <x:c r="H284" s="60" t="n">
        <x:f>STDEV.P('原始数据'!$D$932,'原始数据'!$D$1004,'原始数据'!$D$1076,'原始数据'!$D$1148)</x:f>
        <x:v>0.007606083091841669</x:v>
      </x:c>
      <x:c r="I284" s="63" t="n">
        <x:f>STDEV.P('原始数据'!$E$932,'原始数据'!$E$1004,'原始数据'!$E$1076,'原始数据'!$E$1148)</x:f>
        <x:v>0.011078441903083667</x:v>
      </x:c>
    </x:row>
    <x:row r="285" ht="20" customHeight="1">
      <x:c r="A285" s="27" t="str">
        <x:v>HCL-IDS</x:v>
      </x:c>
      <x:c r="B285" s="30" t="str">
        <x:v>2018-05</x:v>
      </x:c>
      <x:c r="C285" s="51" t="n">
        <x:f>COUNT('原始数据'!$D$933,'原始数据'!$D$1005,'原始数据'!$D$1077,'原始数据'!$D$1149)</x:f>
        <x:v>4</x:v>
      </x:c>
      <x:c r="D285" s="54" t="n">
        <x:f>AVERAGE('原始数据'!$D$933,'原始数据'!$D$1005,'原始数据'!$D$1077,'原始数据'!$D$1149)</x:f>
        <x:v>0.888225</x:v>
      </x:c>
      <x:c r="E285" s="54" t="n">
        <x:f>AVERAGE('原始数据'!$E$933,'原始数据'!$E$1005,'原始数据'!$E$1077,'原始数据'!$E$1149)</x:f>
        <x:v>0.07335</x:v>
      </x:c>
      <x:c r="F285" s="57" t="n">
        <x:f>MIN('原始数据'!$D$933,'原始数据'!$D$1005,'原始数据'!$D$1077,'原始数据'!$D$1149)</x:f>
        <x:v>0.7229</x:v>
      </x:c>
      <x:c r="G285" s="57" t="n">
        <x:f>MAX('原始数据'!$E$933,'原始数据'!$E$1005,'原始数据'!$E$1077,'原始数据'!$E$1149)</x:f>
        <x:v>0.0785</x:v>
      </x:c>
      <x:c r="H285" s="60" t="n">
        <x:f>STDEV.P('原始数据'!$D$933,'原始数据'!$D$1005,'原始数据'!$D$1077,'原始数据'!$D$1149)</x:f>
        <x:v>0.09554481605508487</x:v>
      </x:c>
      <x:c r="I285" s="63" t="n">
        <x:f>STDEV.P('原始数据'!$E$933,'原始数据'!$E$1005,'原始数据'!$E$1077,'原始数据'!$E$1149)</x:f>
        <x:v>0.004508048358214447</x:v>
      </x:c>
    </x:row>
    <x:row r="286" ht="20" customHeight="1">
      <x:c r="A286" s="27" t="str">
        <x:v>HCL-IDS</x:v>
      </x:c>
      <x:c r="B286" s="30" t="str">
        <x:v>2018-06</x:v>
      </x:c>
      <x:c r="C286" s="51" t="n">
        <x:f>COUNT('原始数据'!$D$934,'原始数据'!$D$1006,'原始数据'!$D$1078,'原始数据'!$D$1150)</x:f>
        <x:v>4</x:v>
      </x:c>
      <x:c r="D286" s="54" t="n">
        <x:f>AVERAGE('原始数据'!$D$934,'原始数据'!$D$1006,'原始数据'!$D$1078,'原始数据'!$D$1150)</x:f>
        <x:v>0.9173749999999999</x:v>
      </x:c>
      <x:c r="E286" s="54" t="n">
        <x:f>AVERAGE('原始数据'!$E$934,'原始数据'!$E$1006,'原始数据'!$E$1078,'原始数据'!$E$1150)</x:f>
        <x:v>0.1407</x:v>
      </x:c>
      <x:c r="F286" s="57" t="n">
        <x:f>MIN('原始数据'!$D$934,'原始数据'!$D$1006,'原始数据'!$D$1078,'原始数据'!$D$1150)</x:f>
        <x:v>0.8994</x:v>
      </x:c>
      <x:c r="G286" s="57" t="n">
        <x:f>MAX('原始数据'!$E$934,'原始数据'!$E$1006,'原始数据'!$E$1078,'原始数据'!$E$1150)</x:f>
        <x:v>0.1674</x:v>
      </x:c>
      <x:c r="H286" s="60" t="n">
        <x:f>STDEV.P('原始数据'!$D$934,'原始数据'!$D$1006,'原始数据'!$D$1078,'原始数据'!$D$1150)</x:f>
        <x:v>0.018116342760060602</x:v>
      </x:c>
      <x:c r="I286" s="63" t="n">
        <x:f>STDEV.P('原始数据'!$E$934,'原始数据'!$E$1006,'原始数据'!$E$1078,'原始数据'!$E$1150)</x:f>
        <x:v>0.02887256483238023</x:v>
      </x:c>
    </x:row>
    <x:row r="287" ht="20" customHeight="1">
      <x:c r="A287" s="27" t="str">
        <x:v>HCL-IDS</x:v>
      </x:c>
      <x:c r="B287" s="30" t="str">
        <x:v>2018-07</x:v>
      </x:c>
      <x:c r="C287" s="51" t="n">
        <x:f>COUNT('原始数据'!$D$935,'原始数据'!$D$1007,'原始数据'!$D$1079,'原始数据'!$D$1151)</x:f>
        <x:v>4</x:v>
      </x:c>
      <x:c r="D287" s="54" t="n">
        <x:f>AVERAGE('原始数据'!$D$935,'原始数据'!$D$1007,'原始数据'!$D$1079,'原始数据'!$D$1151)</x:f>
        <x:v>0.91675</x:v>
      </x:c>
      <x:c r="E287" s="54" t="n">
        <x:f>AVERAGE('原始数据'!$E$935,'原始数据'!$E$1007,'原始数据'!$E$1079,'原始数据'!$E$1151)</x:f>
        <x:v>0.137325</x:v>
      </x:c>
      <x:c r="F287" s="57" t="n">
        <x:f>MIN('原始数据'!$D$935,'原始数据'!$D$1007,'原始数据'!$D$1079,'原始数据'!$D$1151)</x:f>
        <x:v>0.895</x:v>
      </x:c>
      <x:c r="G287" s="57" t="n">
        <x:f>MAX('原始数据'!$E$935,'原始数据'!$E$1007,'原始数据'!$E$1079,'原始数据'!$E$1151)</x:f>
        <x:v>0.1701</x:v>
      </x:c>
      <x:c r="H287" s="60" t="n">
        <x:f>STDEV.P('原始数据'!$D$935,'原始数据'!$D$1007,'原始数据'!$D$1079,'原始数据'!$D$1151)</x:f>
        <x:v>0.014403905720324595</x:v>
      </x:c>
      <x:c r="I287" s="63" t="n">
        <x:f>STDEV.P('原始数据'!$E$935,'原始数据'!$E$1007,'原始数据'!$E$1079,'原始数据'!$E$1151)</x:f>
        <x:v>0.02562151195772802</x:v>
      </x:c>
    </x:row>
    <x:row r="288" ht="20" customHeight="1">
      <x:c r="A288" s="27" t="str">
        <x:v>HCL-IDS</x:v>
      </x:c>
      <x:c r="B288" s="30" t="str">
        <x:v>2018-08</x:v>
      </x:c>
      <x:c r="C288" s="51" t="n">
        <x:f>COUNT('原始数据'!$D$936,'原始数据'!$D$1008,'原始数据'!$D$1080,'原始数据'!$D$1152)</x:f>
        <x:v>4</x:v>
      </x:c>
      <x:c r="D288" s="54" t="n">
        <x:f>AVERAGE('原始数据'!$D$936,'原始数据'!$D$1008,'原始数据'!$D$1080,'原始数据'!$D$1152)</x:f>
        <x:v>0.915325</x:v>
      </x:c>
      <x:c r="E288" s="54" t="n">
        <x:f>AVERAGE('原始数据'!$E$936,'原始数据'!$E$1008,'原始数据'!$E$1080,'原始数据'!$E$1152)</x:f>
        <x:v>0.1177</x:v>
      </x:c>
      <x:c r="F288" s="57" t="n">
        <x:f>MIN('原始数据'!$D$936,'原始数据'!$D$1008,'原始数据'!$D$1080,'原始数据'!$D$1152)</x:f>
        <x:v>0.9023</x:v>
      </x:c>
      <x:c r="G288" s="57" t="n">
        <x:f>MAX('原始数据'!$E$936,'原始数据'!$E$1008,'原始数据'!$E$1080,'原始数据'!$E$1152)</x:f>
        <x:v>0.1271</x:v>
      </x:c>
      <x:c r="H288" s="60" t="n">
        <x:f>STDEV.P('原始数据'!$D$936,'原始数据'!$D$1008,'原始数据'!$D$1080,'原始数据'!$D$1152)</x:f>
        <x:v>0.007866503352824553</x:v>
      </x:c>
      <x:c r="I288" s="63" t="n">
        <x:f>STDEV.P('原始数据'!$E$936,'原始数据'!$E$1008,'原始数据'!$E$1080,'原始数据'!$E$1152)</x:f>
        <x:v>0.0065745722294305925</x:v>
      </x:c>
    </x:row>
    <x:row r="289" ht="20" customHeight="1">
      <x:c r="A289" s="27" t="str">
        <x:v>HCL-IDS</x:v>
      </x:c>
      <x:c r="B289" s="30" t="str">
        <x:v>2018-09</x:v>
      </x:c>
      <x:c r="C289" s="51" t="n">
        <x:f>COUNT('原始数据'!$D$937,'原始数据'!$D$1009,'原始数据'!$D$1081,'原始数据'!$D$1153)</x:f>
        <x:v>4</x:v>
      </x:c>
      <x:c r="D289" s="54" t="n">
        <x:f>AVERAGE('原始数据'!$D$937,'原始数据'!$D$1009,'原始数据'!$D$1081,'原始数据'!$D$1153)</x:f>
        <x:v>0.8841</x:v>
      </x:c>
      <x:c r="E289" s="54" t="n">
        <x:f>AVERAGE('原始数据'!$E$937,'原始数据'!$E$1009,'原始数据'!$E$1081,'原始数据'!$E$1153)</x:f>
        <x:v>0.168125</x:v>
      </x:c>
      <x:c r="F289" s="57" t="n">
        <x:f>MIN('原始数据'!$D$937,'原始数据'!$D$1009,'原始数据'!$D$1081,'原始数据'!$D$1153)</x:f>
        <x:v>0.8723</x:v>
      </x:c>
      <x:c r="G289" s="57" t="n">
        <x:f>MAX('原始数据'!$E$937,'原始数据'!$E$1009,'原始数据'!$E$1081,'原始数据'!$E$1153)</x:f>
        <x:v>0.1943</x:v>
      </x:c>
      <x:c r="H289" s="60" t="n">
        <x:f>STDEV.P('原始数据'!$D$937,'原始数据'!$D$1009,'原始数据'!$D$1081,'原始数据'!$D$1153)</x:f>
        <x:v>0.015023315213360854</x:v>
      </x:c>
      <x:c r="I289" s="63" t="n">
        <x:f>STDEV.P('原始数据'!$E$937,'原始数据'!$E$1009,'原始数据'!$E$1081,'原始数据'!$E$1153)</x:f>
        <x:v>0.02225919753719796</x:v>
      </x:c>
    </x:row>
    <x:row r="290" ht="20" customHeight="1">
      <x:c r="A290" s="27" t="str">
        <x:v>HCL-IDS</x:v>
      </x:c>
      <x:c r="B290" s="30" t="str">
        <x:v>2018-10</x:v>
      </x:c>
      <x:c r="C290" s="51" t="n">
        <x:f>COUNT('原始数据'!$D$938,'原始数据'!$D$1010,'原始数据'!$D$1082,'原始数据'!$D$1154)</x:f>
        <x:v>4</x:v>
      </x:c>
      <x:c r="D290" s="54" t="n">
        <x:f>AVERAGE('原始数据'!$D$938,'原始数据'!$D$1010,'原始数据'!$D$1082,'原始数据'!$D$1154)</x:f>
        <x:v>0.8873</x:v>
      </x:c>
      <x:c r="E290" s="54" t="n">
        <x:f>AVERAGE('原始数据'!$E$938,'原始数据'!$E$1010,'原始数据'!$E$1082,'原始数据'!$E$1154)</x:f>
        <x:v>0.17345</x:v>
      </x:c>
      <x:c r="F290" s="57" t="n">
        <x:f>MIN('原始数据'!$D$938,'原始数据'!$D$1010,'原始数据'!$D$1082,'原始数据'!$D$1154)</x:f>
        <x:v>0.8805</x:v>
      </x:c>
      <x:c r="G290" s="57" t="n">
        <x:f>MAX('原始数据'!$E$938,'原始数据'!$E$1010,'原始数据'!$E$1082,'原始数据'!$E$1154)</x:f>
        <x:v>0.1866</x:v>
      </x:c>
      <x:c r="H290" s="60" t="n">
        <x:f>STDEV.P('原始数据'!$D$938,'原始数据'!$D$1010,'原始数据'!$D$1082,'原始数据'!$D$1154)</x:f>
        <x:v>0.0051638164181155915</x:v>
      </x:c>
      <x:c r="I290" s="63" t="n">
        <x:f>STDEV.P('原始数据'!$E$938,'原始数据'!$E$1010,'原始数据'!$E$1082,'原始数据'!$E$1154)</x:f>
        <x:v>0.007635934782330186</x:v>
      </x:c>
    </x:row>
    <x:row r="291" ht="20" customHeight="1">
      <x:c r="A291" s="27" t="str">
        <x:v>HCL-IDS</x:v>
      </x:c>
      <x:c r="B291" s="30" t="str">
        <x:v>2018-11</x:v>
      </x:c>
      <x:c r="C291" s="51" t="n">
        <x:f>COUNT('原始数据'!$D$939,'原始数据'!$D$1011,'原始数据'!$D$1083,'原始数据'!$D$1155)</x:f>
        <x:v>4</x:v>
      </x:c>
      <x:c r="D291" s="54" t="n">
        <x:f>AVERAGE('原始数据'!$D$939,'原始数据'!$D$1011,'原始数据'!$D$1083,'原始数据'!$D$1155)</x:f>
        <x:v>0.9551</x:v>
      </x:c>
      <x:c r="E291" s="54" t="n">
        <x:f>AVERAGE('原始数据'!$E$939,'原始数据'!$E$1011,'原始数据'!$E$1083,'原始数据'!$E$1155)</x:f>
        <x:v>0.05487500000000001</x:v>
      </x:c>
      <x:c r="F291" s="57" t="n">
        <x:f>MIN('原始数据'!$D$939,'原始数据'!$D$1011,'原始数据'!$D$1083,'原始数据'!$D$1155)</x:f>
        <x:v>0.9489</x:v>
      </x:c>
      <x:c r="G291" s="57" t="n">
        <x:f>MAX('原始数据'!$E$939,'原始数据'!$E$1011,'原始数据'!$E$1083,'原始数据'!$E$1155)</x:f>
        <x:v>0.0627</x:v>
      </x:c>
      <x:c r="H291" s="60" t="n">
        <x:f>STDEV.P('原始数据'!$D$939,'原始数据'!$D$1011,'原始数据'!$D$1083,'原始数据'!$D$1155)</x:f>
        <x:v>0.003833405796416574</x:v>
      </x:c>
      <x:c r="I291" s="63" t="n">
        <x:f>STDEV.P('原始数据'!$E$939,'原始数据'!$E$1011,'原始数据'!$E$1083,'原始数据'!$E$1155)</x:f>
        <x:v>0.005134381657025509</x:v>
      </x:c>
    </x:row>
    <x:row r="292" ht="20" customHeight="1">
      <x:c r="A292" s="28" t="str">
        <x:v>HCL-IDS</x:v>
      </x:c>
      <x:c r="B292" s="31" t="str">
        <x:v>2018-12</x:v>
      </x:c>
      <x:c r="C292" s="52" t="n">
        <x:f>COUNT('原始数据'!$D$940,'原始数据'!$D$1012,'原始数据'!$D$1084,'原始数据'!$D$1156)</x:f>
        <x:v>4</x:v>
      </x:c>
      <x:c r="D292" s="55" t="n">
        <x:f>AVERAGE('原始数据'!$D$940,'原始数据'!$D$1012,'原始数据'!$D$1084,'原始数据'!$D$1156)</x:f>
        <x:v>0.9673</x:v>
      </x:c>
      <x:c r="E292" s="55" t="n">
        <x:f>AVERAGE('原始数据'!$E$940,'原始数据'!$E$1012,'原始数据'!$E$1084,'原始数据'!$E$1156)</x:f>
        <x:v>0.02205</x:v>
      </x:c>
      <x:c r="F292" s="58" t="n">
        <x:f>MIN('原始数据'!$D$940,'原始数据'!$D$1012,'原始数据'!$D$1084,'原始数据'!$D$1156)</x:f>
        <x:v>0.9565</x:v>
      </x:c>
      <x:c r="G292" s="58" t="n">
        <x:f>MAX('原始数据'!$E$940,'原始数据'!$E$1012,'原始数据'!$E$1084,'原始数据'!$E$1156)</x:f>
        <x:v>0.0363</x:v>
      </x:c>
      <x:c r="H292" s="61" t="n">
        <x:f>STDEV.P('原始数据'!$D$940,'原始数据'!$D$1012,'原始数据'!$D$1084,'原始数据'!$D$1156)</x:f>
        <x:v>0.009010826821108034</x:v>
      </x:c>
      <x:c r="I292" s="64" t="n">
        <x:f>STDEV.P('原始数据'!$E$940,'原始数据'!$E$1012,'原始数据'!$E$1084,'原始数据'!$E$1156)</x:f>
        <x:v>0.011794172289736995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4852f0f76bf4e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2" hidden="0" customWidth="1"/>
    <x:col min="5" max="5" width="12" hidden="0" customWidth="1"/>
    <x:col min="6" max="6" width="72" hidden="0" customWidth="1"/>
  </x:cols>
  <x:sheetData>
    <x:row r="1" ht="30" customHeight="1">
      <x:c r="A1" s="3" t="str">
        <x:v>F1 / FNR 原始月度观测</x:v>
      </x:c>
      <x:c r="B1" s="3"/>
      <x:c r="C1" s="3"/>
      <x:c r="D1" s="3"/>
      <x:c r="E1" s="3"/>
      <x:c r="F1" s="3"/>
    </x:row>
    <x:row r="2" ht="30" customHeight="1">
      <x:c r="A2" s="7" t="str">
        <x:v>保留四个方法在配置 50、100、200、300 下的月度结果；2012-12 为初始化记录，未纳入统计。计算区间为 2013-01 至 2018-12。 </x:v>
      </x:c>
      <x:c r="B2" s="7"/>
      <x:c r="C2" s="7"/>
      <x:c r="D2" s="7"/>
      <x:c r="E2" s="7"/>
      <x:c r="F2" s="7"/>
    </x:row>
    <x:row r="4" ht="30" customHeight="1">
      <x:c r="A4" s="19" t="str">
        <x:v>方法</x:v>
      </x:c>
      <x:c r="B4" s="20" t="str">
        <x:v>月份</x:v>
      </x:c>
      <x:c r="C4" s="20" t="str">
        <x:v>配置</x:v>
      </x:c>
      <x:c r="D4" s="20" t="str">
        <x:v>F1</x:v>
      </x:c>
      <x:c r="E4" s="20" t="str">
        <x:v>FNR</x:v>
      </x:c>
      <x:c r="F4" s="20" t="str">
        <x:v>来源文件</x:v>
      </x:c>
    </x:row>
    <x:row r="5" ht="20" customHeight="1">
      <x:c r="A5" s="26" t="str">
        <x:v>CADE</x:v>
      </x:c>
      <x:c r="B5" s="29" t="str">
        <x:v>2013-01</x:v>
      </x:c>
      <x:c r="C5" s="38" t="n">
        <x:v>50</x:v>
      </x:c>
      <x:c r="D5" s="39" t="n">
        <x:v>0.9487</x:v>
      </x:c>
      <x:c r="E5" s="39" t="n">
        <x:v>0.038</x:v>
      </x:c>
      <x:c r="F5" s="47" t="str">
        <x:v>experiments/results/cade/50/07.22-10.54.32/cade_apigraph_127_warm_lr0.0001_adam_cosine_1_e100_wlr5e-05_we50_mwlr5e-05_mwe50_test_2013-01_2018-12_cnt50.csv</x:v>
      </x:c>
    </x:row>
    <x:row r="6" ht="20" customHeight="1">
      <x:c r="A6" s="27" t="str">
        <x:v>CADE</x:v>
      </x:c>
      <x:c r="B6" s="30" t="str">
        <x:v>2013-02</x:v>
      </x:c>
      <x:c r="C6" s="40" t="n">
        <x:v>50</x:v>
      </x:c>
      <x:c r="D6" s="41" t="n">
        <x:v>0.8893</x:v>
      </x:c>
      <x:c r="E6" s="41" t="n">
        <x:v>0.1719</x:v>
      </x:c>
      <x:c r="F6" s="48" t="str">
        <x:v>experiments/results/cade/50/07.22-10.54.32/cade_apigraph_127_warm_lr0.0001_adam_cosine_1_e100_wlr5e-05_we50_mwlr5e-05_mwe50_test_2013-01_2018-12_cnt50.csv</x:v>
      </x:c>
    </x:row>
    <x:row r="7" ht="20" customHeight="1">
      <x:c r="A7" s="27" t="str">
        <x:v>CADE</x:v>
      </x:c>
      <x:c r="B7" s="30" t="str">
        <x:v>2013-03</x:v>
      </x:c>
      <x:c r="C7" s="40" t="n">
        <x:v>50</x:v>
      </x:c>
      <x:c r="D7" s="41" t="n">
        <x:v>0.881</x:v>
      </x:c>
      <x:c r="E7" s="41" t="n">
        <x:v>0.1543</x:v>
      </x:c>
      <x:c r="F7" s="48" t="str">
        <x:v>experiments/results/cade/50/07.22-10.54.32/cade_apigraph_127_warm_lr0.0001_adam_cosine_1_e100_wlr5e-05_we50_mwlr5e-05_mwe50_test_2013-01_2018-12_cnt50.csv</x:v>
      </x:c>
    </x:row>
    <x:row r="8" ht="20" customHeight="1">
      <x:c r="A8" s="27" t="str">
        <x:v>CADE</x:v>
      </x:c>
      <x:c r="B8" s="30" t="str">
        <x:v>2013-04</x:v>
      </x:c>
      <x:c r="C8" s="40" t="n">
        <x:v>50</x:v>
      </x:c>
      <x:c r="D8" s="41" t="n">
        <x:v>0.9202</x:v>
      </x:c>
      <x:c r="E8" s="41" t="n">
        <x:v>0.1105</x:v>
      </x:c>
      <x:c r="F8" s="48" t="str">
        <x:v>experiments/results/cade/50/07.22-10.54.32/cade_apigraph_127_warm_lr0.0001_adam_cosine_1_e100_wlr5e-05_we50_mwlr5e-05_mwe50_test_2013-01_2018-12_cnt50.csv</x:v>
      </x:c>
    </x:row>
    <x:row r="9" ht="20" customHeight="1">
      <x:c r="A9" s="27" t="str">
        <x:v>CADE</x:v>
      </x:c>
      <x:c r="B9" s="30" t="str">
        <x:v>2013-05</x:v>
      </x:c>
      <x:c r="C9" s="40" t="n">
        <x:v>50</x:v>
      </x:c>
      <x:c r="D9" s="41" t="n">
        <x:v>0.9244</x:v>
      </x:c>
      <x:c r="E9" s="41" t="n">
        <x:v>0.0996</x:v>
      </x:c>
      <x:c r="F9" s="48" t="str">
        <x:v>experiments/results/cade/50/07.22-10.54.32/cade_apigraph_127_warm_lr0.0001_adam_cosine_1_e100_wlr5e-05_we50_mwlr5e-05_mwe50_test_2013-01_2018-12_cnt50.csv</x:v>
      </x:c>
    </x:row>
    <x:row r="10" ht="20" customHeight="1">
      <x:c r="A10" s="27" t="str">
        <x:v>CADE</x:v>
      </x:c>
      <x:c r="B10" s="30" t="str">
        <x:v>2013-06</x:v>
      </x:c>
      <x:c r="C10" s="40" t="n">
        <x:v>50</x:v>
      </x:c>
      <x:c r="D10" s="41" t="n">
        <x:v>0.8834</x:v>
      </x:c>
      <x:c r="E10" s="41" t="n">
        <x:v>0.1479</x:v>
      </x:c>
      <x:c r="F10" s="48" t="str">
        <x:v>experiments/results/cade/50/07.22-10.54.32/cade_apigraph_127_warm_lr0.0001_adam_cosine_1_e100_wlr5e-05_we50_mwlr5e-05_mwe50_test_2013-01_2018-12_cnt50.csv</x:v>
      </x:c>
    </x:row>
    <x:row r="11" ht="20" customHeight="1">
      <x:c r="A11" s="27" t="str">
        <x:v>CADE</x:v>
      </x:c>
      <x:c r="B11" s="30" t="str">
        <x:v>2013-07</x:v>
      </x:c>
      <x:c r="C11" s="40" t="n">
        <x:v>50</x:v>
      </x:c>
      <x:c r="D11" s="41" t="n">
        <x:v>0.9094</x:v>
      </x:c>
      <x:c r="E11" s="41" t="n">
        <x:v>0.087</x:v>
      </x:c>
      <x:c r="F11" s="48" t="str">
        <x:v>experiments/results/cade/50/07.22-10.54.32/cade_apigraph_127_warm_lr0.0001_adam_cosine_1_e100_wlr5e-05_we50_mwlr5e-05_mwe50_test_2013-01_2018-12_cnt50.csv</x:v>
      </x:c>
    </x:row>
    <x:row r="12" ht="20" customHeight="1">
      <x:c r="A12" s="27" t="str">
        <x:v>CADE</x:v>
      </x:c>
      <x:c r="B12" s="30" t="str">
        <x:v>2013-08</x:v>
      </x:c>
      <x:c r="C12" s="40" t="n">
        <x:v>50</x:v>
      </x:c>
      <x:c r="D12" s="41" t="n">
        <x:v>0.9076</x:v>
      </x:c>
      <x:c r="E12" s="41" t="n">
        <x:v>0.0868</x:v>
      </x:c>
      <x:c r="F12" s="48" t="str">
        <x:v>experiments/results/cade/50/07.22-10.54.32/cade_apigraph_127_warm_lr0.0001_adam_cosine_1_e100_wlr5e-05_we50_mwlr5e-05_mwe50_test_2013-01_2018-12_cnt50.csv</x:v>
      </x:c>
    </x:row>
    <x:row r="13" ht="20" customHeight="1">
      <x:c r="A13" s="27" t="str">
        <x:v>CADE</x:v>
      </x:c>
      <x:c r="B13" s="30" t="str">
        <x:v>2013-09</x:v>
      </x:c>
      <x:c r="C13" s="40" t="n">
        <x:v>50</x:v>
      </x:c>
      <x:c r="D13" s="41" t="n">
        <x:v>0.8751</x:v>
      </x:c>
      <x:c r="E13" s="41" t="n">
        <x:v>0.096</x:v>
      </x:c>
      <x:c r="F13" s="48" t="str">
        <x:v>experiments/results/cade/50/07.22-10.54.32/cade_apigraph_127_warm_lr0.0001_adam_cosine_1_e100_wlr5e-05_we50_mwlr5e-05_mwe50_test_2013-01_2018-12_cnt50.csv</x:v>
      </x:c>
    </x:row>
    <x:row r="14" ht="20" customHeight="1">
      <x:c r="A14" s="27" t="str">
        <x:v>CADE</x:v>
      </x:c>
      <x:c r="B14" s="30" t="str">
        <x:v>2013-10</x:v>
      </x:c>
      <x:c r="C14" s="40" t="n">
        <x:v>50</x:v>
      </x:c>
      <x:c r="D14" s="41" t="n">
        <x:v>0.849</x:v>
      </x:c>
      <x:c r="E14" s="41" t="n">
        <x:v>0.1383</x:v>
      </x:c>
      <x:c r="F14" s="48" t="str">
        <x:v>experiments/results/cade/50/07.22-10.54.32/cade_apigraph_127_warm_lr0.0001_adam_cosine_1_e100_wlr5e-05_we50_mwlr5e-05_mwe50_test_2013-01_2018-12_cnt50.csv</x:v>
      </x:c>
    </x:row>
    <x:row r="15" ht="20" customHeight="1">
      <x:c r="A15" s="27" t="str">
        <x:v>CADE</x:v>
      </x:c>
      <x:c r="B15" s="30" t="str">
        <x:v>2013-11</x:v>
      </x:c>
      <x:c r="C15" s="40" t="n">
        <x:v>50</x:v>
      </x:c>
      <x:c r="D15" s="41" t="n">
        <x:v>0.8925</x:v>
      </x:c>
      <x:c r="E15" s="41" t="n">
        <x:v>0.103</x:v>
      </x:c>
      <x:c r="F15" s="48" t="str">
        <x:v>experiments/results/cade/50/07.22-10.54.32/cade_apigraph_127_warm_lr0.0001_adam_cosine_1_e100_wlr5e-05_we50_mwlr5e-05_mwe50_test_2013-01_2018-12_cnt50.csv</x:v>
      </x:c>
    </x:row>
    <x:row r="16" ht="20" customHeight="1">
      <x:c r="A16" s="27" t="str">
        <x:v>CADE</x:v>
      </x:c>
      <x:c r="B16" s="30" t="str">
        <x:v>2013-12</x:v>
      </x:c>
      <x:c r="C16" s="40" t="n">
        <x:v>50</x:v>
      </x:c>
      <x:c r="D16" s="41" t="n">
        <x:v>0.8226</x:v>
      </x:c>
      <x:c r="E16" s="41" t="n">
        <x:v>0.2425</x:v>
      </x:c>
      <x:c r="F16" s="48" t="str">
        <x:v>experiments/results/cade/50/07.22-10.54.32/cade_apigraph_127_warm_lr0.0001_adam_cosine_1_e100_wlr5e-05_we50_mwlr5e-05_mwe50_test_2013-01_2018-12_cnt50.csv</x:v>
      </x:c>
    </x:row>
    <x:row r="17" ht="20" customHeight="1">
      <x:c r="A17" s="27" t="str">
        <x:v>CADE</x:v>
      </x:c>
      <x:c r="B17" s="30" t="str">
        <x:v>2014-01</x:v>
      </x:c>
      <x:c r="C17" s="40" t="n">
        <x:v>50</x:v>
      </x:c>
      <x:c r="D17" s="41" t="n">
        <x:v>0.8325</x:v>
      </x:c>
      <x:c r="E17" s="41" t="n">
        <x:v>0.1481</x:v>
      </x:c>
      <x:c r="F17" s="48" t="str">
        <x:v>experiments/results/cade/50/07.22-10.54.32/cade_apigraph_127_warm_lr0.0001_adam_cosine_1_e100_wlr5e-05_we50_mwlr5e-05_mwe50_test_2013-01_2018-12_cnt50.csv</x:v>
      </x:c>
    </x:row>
    <x:row r="18" ht="20" customHeight="1">
      <x:c r="A18" s="27" t="str">
        <x:v>CADE</x:v>
      </x:c>
      <x:c r="B18" s="30" t="str">
        <x:v>2014-02</x:v>
      </x:c>
      <x:c r="C18" s="40" t="n">
        <x:v>50</x:v>
      </x:c>
      <x:c r="D18" s="41" t="n">
        <x:v>0.8869</x:v>
      </x:c>
      <x:c r="E18" s="41" t="n">
        <x:v>0.097</x:v>
      </x:c>
      <x:c r="F18" s="48" t="str">
        <x:v>experiments/results/cade/50/07.22-10.54.32/cade_apigraph_127_warm_lr0.0001_adam_cosine_1_e100_wlr5e-05_we50_mwlr5e-05_mwe50_test_2013-01_2018-12_cnt50.csv</x:v>
      </x:c>
    </x:row>
    <x:row r="19" ht="20" customHeight="1">
      <x:c r="A19" s="27" t="str">
        <x:v>CADE</x:v>
      </x:c>
      <x:c r="B19" s="30" t="str">
        <x:v>2014-03</x:v>
      </x:c>
      <x:c r="C19" s="40" t="n">
        <x:v>50</x:v>
      </x:c>
      <x:c r="D19" s="41" t="n">
        <x:v>0.8395</x:v>
      </x:c>
      <x:c r="E19" s="41" t="n">
        <x:v>0.1215</x:v>
      </x:c>
      <x:c r="F19" s="48" t="str">
        <x:v>experiments/results/cade/50/07.22-10.54.32/cade_apigraph_127_warm_lr0.0001_adam_cosine_1_e100_wlr5e-05_we50_mwlr5e-05_mwe50_test_2013-01_2018-12_cnt50.csv</x:v>
      </x:c>
    </x:row>
    <x:row r="20" ht="20" customHeight="1">
      <x:c r="A20" s="27" t="str">
        <x:v>CADE</x:v>
      </x:c>
      <x:c r="B20" s="30" t="str">
        <x:v>2014-04</x:v>
      </x:c>
      <x:c r="C20" s="40" t="n">
        <x:v>50</x:v>
      </x:c>
      <x:c r="D20" s="41" t="n">
        <x:v>0.8243</x:v>
      </x:c>
      <x:c r="E20" s="41" t="n">
        <x:v>0.1523</x:v>
      </x:c>
      <x:c r="F20" s="48" t="str">
        <x:v>experiments/results/cade/50/07.22-10.54.32/cade_apigraph_127_warm_lr0.0001_adam_cosine_1_e100_wlr5e-05_we50_mwlr5e-05_mwe50_test_2013-01_2018-12_cnt50.csv</x:v>
      </x:c>
    </x:row>
    <x:row r="21" ht="20" customHeight="1">
      <x:c r="A21" s="27" t="str">
        <x:v>CADE</x:v>
      </x:c>
      <x:c r="B21" s="30" t="str">
        <x:v>2014-05</x:v>
      </x:c>
      <x:c r="C21" s="40" t="n">
        <x:v>50</x:v>
      </x:c>
      <x:c r="D21" s="41" t="n">
        <x:v>0.8373</x:v>
      </x:c>
      <x:c r="E21" s="41" t="n">
        <x:v>0.1147</x:v>
      </x:c>
      <x:c r="F21" s="48" t="str">
        <x:v>experiments/results/cade/50/07.22-10.54.32/cade_apigraph_127_warm_lr0.0001_adam_cosine_1_e100_wlr5e-05_we50_mwlr5e-05_mwe50_test_2013-01_2018-12_cnt50.csv</x:v>
      </x:c>
    </x:row>
    <x:row r="22" ht="20" customHeight="1">
      <x:c r="A22" s="27" t="str">
        <x:v>CADE</x:v>
      </x:c>
      <x:c r="B22" s="30" t="str">
        <x:v>2014-06</x:v>
      </x:c>
      <x:c r="C22" s="40" t="n">
        <x:v>50</x:v>
      </x:c>
      <x:c r="D22" s="41" t="n">
        <x:v>0.7513</x:v>
      </x:c>
      <x:c r="E22" s="41" t="n">
        <x:v>0.2811</x:v>
      </x:c>
      <x:c r="F22" s="48" t="str">
        <x:v>experiments/results/cade/50/07.22-10.54.32/cade_apigraph_127_warm_lr0.0001_adam_cosine_1_e100_wlr5e-05_we50_mwlr5e-05_mwe50_test_2013-01_2018-12_cnt50.csv</x:v>
      </x:c>
    </x:row>
    <x:row r="23" ht="20" customHeight="1">
      <x:c r="A23" s="27" t="str">
        <x:v>CADE</x:v>
      </x:c>
      <x:c r="B23" s="30" t="str">
        <x:v>2014-07</x:v>
      </x:c>
      <x:c r="C23" s="40" t="n">
        <x:v>50</x:v>
      </x:c>
      <x:c r="D23" s="41" t="n">
        <x:v>0.7661</x:v>
      </x:c>
      <x:c r="E23" s="41" t="n">
        <x:v>0.2946</x:v>
      </x:c>
      <x:c r="F23" s="48" t="str">
        <x:v>experiments/results/cade/50/07.22-10.54.32/cade_apigraph_127_warm_lr0.0001_adam_cosine_1_e100_wlr5e-05_we50_mwlr5e-05_mwe50_test_2013-01_2018-12_cnt50.csv</x:v>
      </x:c>
    </x:row>
    <x:row r="24" ht="20" customHeight="1">
      <x:c r="A24" s="27" t="str">
        <x:v>CADE</x:v>
      </x:c>
      <x:c r="B24" s="30" t="str">
        <x:v>2014-08</x:v>
      </x:c>
      <x:c r="C24" s="40" t="n">
        <x:v>50</x:v>
      </x:c>
      <x:c r="D24" s="41" t="n">
        <x:v>0.8017</x:v>
      </x:c>
      <x:c r="E24" s="41" t="n">
        <x:v>0.2258</x:v>
      </x:c>
      <x:c r="F24" s="48" t="str">
        <x:v>experiments/results/cade/50/07.22-10.54.32/cade_apigraph_127_warm_lr0.0001_adam_cosine_1_e100_wlr5e-05_we50_mwlr5e-05_mwe50_test_2013-01_2018-12_cnt50.csv</x:v>
      </x:c>
    </x:row>
    <x:row r="25" ht="20" customHeight="1">
      <x:c r="A25" s="27" t="str">
        <x:v>CADE</x:v>
      </x:c>
      <x:c r="B25" s="30" t="str">
        <x:v>2014-09</x:v>
      </x:c>
      <x:c r="C25" s="40" t="n">
        <x:v>50</x:v>
      </x:c>
      <x:c r="D25" s="41" t="n">
        <x:v>0.8014</x:v>
      </x:c>
      <x:c r="E25" s="41" t="n">
        <x:v>0.2109</x:v>
      </x:c>
      <x:c r="F25" s="48" t="str">
        <x:v>experiments/results/cade/50/07.22-10.54.32/cade_apigraph_127_warm_lr0.0001_adam_cosine_1_e100_wlr5e-05_we50_mwlr5e-05_mwe50_test_2013-01_2018-12_cnt50.csv</x:v>
      </x:c>
    </x:row>
    <x:row r="26" ht="20" customHeight="1">
      <x:c r="A26" s="27" t="str">
        <x:v>CADE</x:v>
      </x:c>
      <x:c r="B26" s="30" t="str">
        <x:v>2014-10</x:v>
      </x:c>
      <x:c r="C26" s="40" t="n">
        <x:v>50</x:v>
      </x:c>
      <x:c r="D26" s="41" t="n">
        <x:v>0.7827</x:v>
      </x:c>
      <x:c r="E26" s="41" t="n">
        <x:v>0.2597</x:v>
      </x:c>
      <x:c r="F26" s="48" t="str">
        <x:v>experiments/results/cade/50/07.22-10.54.32/cade_apigraph_127_warm_lr0.0001_adam_cosine_1_e100_wlr5e-05_we50_mwlr5e-05_mwe50_test_2013-01_2018-12_cnt50.csv</x:v>
      </x:c>
    </x:row>
    <x:row r="27" ht="20" customHeight="1">
      <x:c r="A27" s="27" t="str">
        <x:v>CADE</x:v>
      </x:c>
      <x:c r="B27" s="30" t="str">
        <x:v>2014-11</x:v>
      </x:c>
      <x:c r="C27" s="40" t="n">
        <x:v>50</x:v>
      </x:c>
      <x:c r="D27" s="41" t="n">
        <x:v>0.8234</x:v>
      </x:c>
      <x:c r="E27" s="41" t="n">
        <x:v>0.1582</x:v>
      </x:c>
      <x:c r="F27" s="48" t="str">
        <x:v>experiments/results/cade/50/07.22-10.54.32/cade_apigraph_127_warm_lr0.0001_adam_cosine_1_e100_wlr5e-05_we50_mwlr5e-05_mwe50_test_2013-01_2018-12_cnt50.csv</x:v>
      </x:c>
    </x:row>
    <x:row r="28" ht="20" customHeight="1">
      <x:c r="A28" s="27" t="str">
        <x:v>CADE</x:v>
      </x:c>
      <x:c r="B28" s="30" t="str">
        <x:v>2014-12</x:v>
      </x:c>
      <x:c r="C28" s="40" t="n">
        <x:v>50</x:v>
      </x:c>
      <x:c r="D28" s="41" t="n">
        <x:v>0.8175</x:v>
      </x:c>
      <x:c r="E28" s="41" t="n">
        <x:v>0.2049</x:v>
      </x:c>
      <x:c r="F28" s="48" t="str">
        <x:v>experiments/results/cade/50/07.22-10.54.32/cade_apigraph_127_warm_lr0.0001_adam_cosine_1_e100_wlr5e-05_we50_mwlr5e-05_mwe50_test_2013-01_2018-12_cnt50.csv</x:v>
      </x:c>
    </x:row>
    <x:row r="29" ht="20" customHeight="1">
      <x:c r="A29" s="27" t="str">
        <x:v>CADE</x:v>
      </x:c>
      <x:c r="B29" s="30" t="str">
        <x:v>2015-01</x:v>
      </x:c>
      <x:c r="C29" s="40" t="n">
        <x:v>50</x:v>
      </x:c>
      <x:c r="D29" s="41" t="n">
        <x:v>0.8158</x:v>
      </x:c>
      <x:c r="E29" s="41" t="n">
        <x:v>0.2218</x:v>
      </x:c>
      <x:c r="F29" s="48" t="str">
        <x:v>experiments/results/cade/50/07.22-10.54.32/cade_apigraph_127_warm_lr0.0001_adam_cosine_1_e100_wlr5e-05_we50_mwlr5e-05_mwe50_test_2013-01_2018-12_cnt50.csv</x:v>
      </x:c>
    </x:row>
    <x:row r="30" ht="20" customHeight="1">
      <x:c r="A30" s="27" t="str">
        <x:v>CADE</x:v>
      </x:c>
      <x:c r="B30" s="30" t="str">
        <x:v>2015-02</x:v>
      </x:c>
      <x:c r="C30" s="40" t="n">
        <x:v>50</x:v>
      </x:c>
      <x:c r="D30" s="41" t="n">
        <x:v>0.861</x:v>
      </x:c>
      <x:c r="E30" s="41" t="n">
        <x:v>0.139</x:v>
      </x:c>
      <x:c r="F30" s="48" t="str">
        <x:v>experiments/results/cade/50/07.22-10.54.32/cade_apigraph_127_warm_lr0.0001_adam_cosine_1_e100_wlr5e-05_we50_mwlr5e-05_mwe50_test_2013-01_2018-12_cnt50.csv</x:v>
      </x:c>
    </x:row>
    <x:row r="31" ht="20" customHeight="1">
      <x:c r="A31" s="27" t="str">
        <x:v>CADE</x:v>
      </x:c>
      <x:c r="B31" s="30" t="str">
        <x:v>2015-03</x:v>
      </x:c>
      <x:c r="C31" s="40" t="n">
        <x:v>50</x:v>
      </x:c>
      <x:c r="D31" s="41" t="n">
        <x:v>0.8606</x:v>
      </x:c>
      <x:c r="E31" s="41" t="n">
        <x:v>0.1741</x:v>
      </x:c>
      <x:c r="F31" s="48" t="str">
        <x:v>experiments/results/cade/50/07.22-10.54.32/cade_apigraph_127_warm_lr0.0001_adam_cosine_1_e100_wlr5e-05_we50_mwlr5e-05_mwe50_test_2013-01_2018-12_cnt50.csv</x:v>
      </x:c>
    </x:row>
    <x:row r="32" ht="20" customHeight="1">
      <x:c r="A32" s="27" t="str">
        <x:v>CADE</x:v>
      </x:c>
      <x:c r="B32" s="30" t="str">
        <x:v>2015-04</x:v>
      </x:c>
      <x:c r="C32" s="40" t="n">
        <x:v>50</x:v>
      </x:c>
      <x:c r="D32" s="41" t="n">
        <x:v>0.8844</x:v>
      </x:c>
      <x:c r="E32" s="41" t="n">
        <x:v>0.1071</x:v>
      </x:c>
      <x:c r="F32" s="48" t="str">
        <x:v>experiments/results/cade/50/07.22-10.54.32/cade_apigraph_127_warm_lr0.0001_adam_cosine_1_e100_wlr5e-05_we50_mwlr5e-05_mwe50_test_2013-01_2018-12_cnt50.csv</x:v>
      </x:c>
    </x:row>
    <x:row r="33" ht="20" customHeight="1">
      <x:c r="A33" s="27" t="str">
        <x:v>CADE</x:v>
      </x:c>
      <x:c r="B33" s="30" t="str">
        <x:v>2015-05</x:v>
      </x:c>
      <x:c r="C33" s="40" t="n">
        <x:v>50</x:v>
      </x:c>
      <x:c r="D33" s="41" t="n">
        <x:v>0.8779</x:v>
      </x:c>
      <x:c r="E33" s="41" t="n">
        <x:v>0.1419</x:v>
      </x:c>
      <x:c r="F33" s="48" t="str">
        <x:v>experiments/results/cade/50/07.22-10.54.32/cade_apigraph_127_warm_lr0.0001_adam_cosine_1_e100_wlr5e-05_we50_mwlr5e-05_mwe50_test_2013-01_2018-12_cnt50.csv</x:v>
      </x:c>
    </x:row>
    <x:row r="34" ht="20" customHeight="1">
      <x:c r="A34" s="27" t="str">
        <x:v>CADE</x:v>
      </x:c>
      <x:c r="B34" s="30" t="str">
        <x:v>2015-06</x:v>
      </x:c>
      <x:c r="C34" s="40" t="n">
        <x:v>50</x:v>
      </x:c>
      <x:c r="D34" s="41" t="n">
        <x:v>0.8891</x:v>
      </x:c>
      <x:c r="E34" s="41" t="n">
        <x:v>0.1225</x:v>
      </x:c>
      <x:c r="F34" s="48" t="str">
        <x:v>experiments/results/cade/50/07.22-10.54.32/cade_apigraph_127_warm_lr0.0001_adam_cosine_1_e100_wlr5e-05_we50_mwlr5e-05_mwe50_test_2013-01_2018-12_cnt50.csv</x:v>
      </x:c>
    </x:row>
    <x:row r="35" ht="20" customHeight="1">
      <x:c r="A35" s="27" t="str">
        <x:v>CADE</x:v>
      </x:c>
      <x:c r="B35" s="30" t="str">
        <x:v>2015-07</x:v>
      </x:c>
      <x:c r="C35" s="40" t="n">
        <x:v>50</x:v>
      </x:c>
      <x:c r="D35" s="41" t="n">
        <x:v>0.8821</x:v>
      </x:c>
      <x:c r="E35" s="41" t="n">
        <x:v>0.153</x:v>
      </x:c>
      <x:c r="F35" s="48" t="str">
        <x:v>experiments/results/cade/50/07.22-10.54.32/cade_apigraph_127_warm_lr0.0001_adam_cosine_1_e100_wlr5e-05_we50_mwlr5e-05_mwe50_test_2013-01_2018-12_cnt50.csv</x:v>
      </x:c>
    </x:row>
    <x:row r="36" ht="20" customHeight="1">
      <x:c r="A36" s="27" t="str">
        <x:v>CADE</x:v>
      </x:c>
      <x:c r="B36" s="30" t="str">
        <x:v>2015-08</x:v>
      </x:c>
      <x:c r="C36" s="40" t="n">
        <x:v>50</x:v>
      </x:c>
      <x:c r="D36" s="41" t="n">
        <x:v>0.919</x:v>
      </x:c>
      <x:c r="E36" s="41" t="n">
        <x:v>0.0915</x:v>
      </x:c>
      <x:c r="F36" s="48" t="str">
        <x:v>experiments/results/cade/50/07.22-10.54.32/cade_apigraph_127_warm_lr0.0001_adam_cosine_1_e100_wlr5e-05_we50_mwlr5e-05_mwe50_test_2013-01_2018-12_cnt50.csv</x:v>
      </x:c>
    </x:row>
    <x:row r="37" ht="20" customHeight="1">
      <x:c r="A37" s="27" t="str">
        <x:v>CADE</x:v>
      </x:c>
      <x:c r="B37" s="30" t="str">
        <x:v>2015-09</x:v>
      </x:c>
      <x:c r="C37" s="40" t="n">
        <x:v>50</x:v>
      </x:c>
      <x:c r="D37" s="41" t="n">
        <x:v>0.8197</x:v>
      </x:c>
      <x:c r="E37" s="41" t="n">
        <x:v>0.2407</x:v>
      </x:c>
      <x:c r="F37" s="48" t="str">
        <x:v>experiments/results/cade/50/07.22-10.54.32/cade_apigraph_127_warm_lr0.0001_adam_cosine_1_e100_wlr5e-05_we50_mwlr5e-05_mwe50_test_2013-01_2018-12_cnt50.csv</x:v>
      </x:c>
    </x:row>
    <x:row r="38" ht="20" customHeight="1">
      <x:c r="A38" s="27" t="str">
        <x:v>CADE</x:v>
      </x:c>
      <x:c r="B38" s="30" t="str">
        <x:v>2015-10</x:v>
      </x:c>
      <x:c r="C38" s="40" t="n">
        <x:v>50</x:v>
      </x:c>
      <x:c r="D38" s="41" t="n">
        <x:v>0.7935</x:v>
      </x:c>
      <x:c r="E38" s="41" t="n">
        <x:v>0.2842</x:v>
      </x:c>
      <x:c r="F38" s="48" t="str">
        <x:v>experiments/results/cade/50/07.22-10.54.32/cade_apigraph_127_warm_lr0.0001_adam_cosine_1_e100_wlr5e-05_we50_mwlr5e-05_mwe50_test_2013-01_2018-12_cnt50.csv</x:v>
      </x:c>
    </x:row>
    <x:row r="39" ht="20" customHeight="1">
      <x:c r="A39" s="27" t="str">
        <x:v>CADE</x:v>
      </x:c>
      <x:c r="B39" s="30" t="str">
        <x:v>2015-11</x:v>
      </x:c>
      <x:c r="C39" s="40" t="n">
        <x:v>50</x:v>
      </x:c>
      <x:c r="D39" s="41" t="n">
        <x:v>0.8553</x:v>
      </x:c>
      <x:c r="E39" s="41" t="n">
        <x:v>0.2008</x:v>
      </x:c>
      <x:c r="F39" s="48" t="str">
        <x:v>experiments/results/cade/50/07.22-10.54.32/cade_apigraph_127_warm_lr0.0001_adam_cosine_1_e100_wlr5e-05_we50_mwlr5e-05_mwe50_test_2013-01_2018-12_cnt50.csv</x:v>
      </x:c>
    </x:row>
    <x:row r="40" ht="20" customHeight="1">
      <x:c r="A40" s="27" t="str">
        <x:v>CADE</x:v>
      </x:c>
      <x:c r="B40" s="30" t="str">
        <x:v>2015-12</x:v>
      </x:c>
      <x:c r="C40" s="40" t="n">
        <x:v>50</x:v>
      </x:c>
      <x:c r="D40" s="41" t="n">
        <x:v>0.8863</x:v>
      </x:c>
      <x:c r="E40" s="41" t="n">
        <x:v>0.1247</x:v>
      </x:c>
      <x:c r="F40" s="48" t="str">
        <x:v>experiments/results/cade/50/07.22-10.54.32/cade_apigraph_127_warm_lr0.0001_adam_cosine_1_e100_wlr5e-05_we50_mwlr5e-05_mwe50_test_2013-01_2018-12_cnt50.csv</x:v>
      </x:c>
    </x:row>
    <x:row r="41" ht="20" customHeight="1">
      <x:c r="A41" s="27" t="str">
        <x:v>CADE</x:v>
      </x:c>
      <x:c r="B41" s="30" t="str">
        <x:v>2016-01</x:v>
      </x:c>
      <x:c r="C41" s="40" t="n">
        <x:v>50</x:v>
      </x:c>
      <x:c r="D41" s="41" t="n">
        <x:v>0.8815</x:v>
      </x:c>
      <x:c r="E41" s="41" t="n">
        <x:v>0.1468</x:v>
      </x:c>
      <x:c r="F41" s="48" t="str">
        <x:v>experiments/results/cade/50/07.22-10.54.32/cade_apigraph_127_warm_lr0.0001_adam_cosine_1_e100_wlr5e-05_we50_mwlr5e-05_mwe50_test_2013-01_2018-12_cnt50.csv</x:v>
      </x:c>
    </x:row>
    <x:row r="42" ht="20" customHeight="1">
      <x:c r="A42" s="27" t="str">
        <x:v>CADE</x:v>
      </x:c>
      <x:c r="B42" s="30" t="str">
        <x:v>2016-02</x:v>
      </x:c>
      <x:c r="C42" s="40" t="n">
        <x:v>50</x:v>
      </x:c>
      <x:c r="D42" s="41" t="n">
        <x:v>0.88</x:v>
      </x:c>
      <x:c r="E42" s="41" t="n">
        <x:v>0.0876</x:v>
      </x:c>
      <x:c r="F42" s="48" t="str">
        <x:v>experiments/results/cade/50/07.22-10.54.32/cade_apigraph_127_warm_lr0.0001_adam_cosine_1_e100_wlr5e-05_we50_mwlr5e-05_mwe50_test_2013-01_2018-12_cnt50.csv</x:v>
      </x:c>
    </x:row>
    <x:row r="43" ht="20" customHeight="1">
      <x:c r="A43" s="27" t="str">
        <x:v>CADE</x:v>
      </x:c>
      <x:c r="B43" s="30" t="str">
        <x:v>2016-03</x:v>
      </x:c>
      <x:c r="C43" s="40" t="n">
        <x:v>50</x:v>
      </x:c>
      <x:c r="D43" s="41" t="n">
        <x:v>0.8922</x:v>
      </x:c>
      <x:c r="E43" s="41" t="n">
        <x:v>0.0773</x:v>
      </x:c>
      <x:c r="F43" s="48" t="str">
        <x:v>experiments/results/cade/50/07.22-10.54.32/cade_apigraph_127_warm_lr0.0001_adam_cosine_1_e100_wlr5e-05_we50_mwlr5e-05_mwe50_test_2013-01_2018-12_cnt50.csv</x:v>
      </x:c>
    </x:row>
    <x:row r="44" ht="20" customHeight="1">
      <x:c r="A44" s="27" t="str">
        <x:v>CADE</x:v>
      </x:c>
      <x:c r="B44" s="30" t="str">
        <x:v>2016-04</x:v>
      </x:c>
      <x:c r="C44" s="40" t="n">
        <x:v>50</x:v>
      </x:c>
      <x:c r="D44" s="41" t="n">
        <x:v>0.8866</x:v>
      </x:c>
      <x:c r="E44" s="41" t="n">
        <x:v>0.0856</x:v>
      </x:c>
      <x:c r="F44" s="48" t="str">
        <x:v>experiments/results/cade/50/07.22-10.54.32/cade_apigraph_127_warm_lr0.0001_adam_cosine_1_e100_wlr5e-05_we50_mwlr5e-05_mwe50_test_2013-01_2018-12_cnt50.csv</x:v>
      </x:c>
    </x:row>
    <x:row r="45" ht="20" customHeight="1">
      <x:c r="A45" s="27" t="str">
        <x:v>CADE</x:v>
      </x:c>
      <x:c r="B45" s="30" t="str">
        <x:v>2016-05</x:v>
      </x:c>
      <x:c r="C45" s="40" t="n">
        <x:v>50</x:v>
      </x:c>
      <x:c r="D45" s="41" t="n">
        <x:v>0.916</x:v>
      </x:c>
      <x:c r="E45" s="41" t="n">
        <x:v>0.086</x:v>
      </x:c>
      <x:c r="F45" s="48" t="str">
        <x:v>experiments/results/cade/50/07.22-10.54.32/cade_apigraph_127_warm_lr0.0001_adam_cosine_1_e100_wlr5e-05_we50_mwlr5e-05_mwe50_test_2013-01_2018-12_cnt50.csv</x:v>
      </x:c>
    </x:row>
    <x:row r="46" ht="20" customHeight="1">
      <x:c r="A46" s="27" t="str">
        <x:v>CADE</x:v>
      </x:c>
      <x:c r="B46" s="30" t="str">
        <x:v>2016-06</x:v>
      </x:c>
      <x:c r="C46" s="40" t="n">
        <x:v>50</x:v>
      </x:c>
      <x:c r="D46" s="41" t="n">
        <x:v>0.9207</x:v>
      </x:c>
      <x:c r="E46" s="41" t="n">
        <x:v>0.0793</x:v>
      </x:c>
      <x:c r="F46" s="48" t="str">
        <x:v>experiments/results/cade/50/07.22-10.54.32/cade_apigraph_127_warm_lr0.0001_adam_cosine_1_e100_wlr5e-05_we50_mwlr5e-05_mwe50_test_2013-01_2018-12_cnt50.csv</x:v>
      </x:c>
    </x:row>
    <x:row r="47" ht="20" customHeight="1">
      <x:c r="A47" s="27" t="str">
        <x:v>CADE</x:v>
      </x:c>
      <x:c r="B47" s="30" t="str">
        <x:v>2016-07</x:v>
      </x:c>
      <x:c r="C47" s="40" t="n">
        <x:v>50</x:v>
      </x:c>
      <x:c r="D47" s="41" t="n">
        <x:v>0.9091</x:v>
      </x:c>
      <x:c r="E47" s="41" t="n">
        <x:v>0.0956</x:v>
      </x:c>
      <x:c r="F47" s="48" t="str">
        <x:v>experiments/results/cade/50/07.22-10.54.32/cade_apigraph_127_warm_lr0.0001_adam_cosine_1_e100_wlr5e-05_we50_mwlr5e-05_mwe50_test_2013-01_2018-12_cnt50.csv</x:v>
      </x:c>
    </x:row>
    <x:row r="48" ht="20" customHeight="1">
      <x:c r="A48" s="27" t="str">
        <x:v>CADE</x:v>
      </x:c>
      <x:c r="B48" s="30" t="str">
        <x:v>2016-08</x:v>
      </x:c>
      <x:c r="C48" s="40" t="n">
        <x:v>50</x:v>
      </x:c>
      <x:c r="D48" s="41" t="n">
        <x:v>0.8987</x:v>
      </x:c>
      <x:c r="E48" s="41" t="n">
        <x:v>0.0986</x:v>
      </x:c>
      <x:c r="F48" s="48" t="str">
        <x:v>experiments/results/cade/50/07.22-10.54.32/cade_apigraph_127_warm_lr0.0001_adam_cosine_1_e100_wlr5e-05_we50_mwlr5e-05_mwe50_test_2013-01_2018-12_cnt50.csv</x:v>
      </x:c>
    </x:row>
    <x:row r="49" ht="20" customHeight="1">
      <x:c r="A49" s="27" t="str">
        <x:v>CADE</x:v>
      </x:c>
      <x:c r="B49" s="30" t="str">
        <x:v>2016-09</x:v>
      </x:c>
      <x:c r="C49" s="40" t="n">
        <x:v>50</x:v>
      </x:c>
      <x:c r="D49" s="41" t="n">
        <x:v>0.8985</x:v>
      </x:c>
      <x:c r="E49" s="41" t="n">
        <x:v>0.1116</x:v>
      </x:c>
      <x:c r="F49" s="48" t="str">
        <x:v>experiments/results/cade/50/07.22-10.54.32/cade_apigraph_127_warm_lr0.0001_adam_cosine_1_e100_wlr5e-05_we50_mwlr5e-05_mwe50_test_2013-01_2018-12_cnt50.csv</x:v>
      </x:c>
    </x:row>
    <x:row r="50" ht="20" customHeight="1">
      <x:c r="A50" s="27" t="str">
        <x:v>CADE</x:v>
      </x:c>
      <x:c r="B50" s="30" t="str">
        <x:v>2016-10</x:v>
      </x:c>
      <x:c r="C50" s="40" t="n">
        <x:v>50</x:v>
      </x:c>
      <x:c r="D50" s="41" t="n">
        <x:v>0.8948</x:v>
      </x:c>
      <x:c r="E50" s="41" t="n">
        <x:v>0.0407</x:v>
      </x:c>
      <x:c r="F50" s="48" t="str">
        <x:v>experiments/results/cade/50/07.22-10.54.32/cade_apigraph_127_warm_lr0.0001_adam_cosine_1_e100_wlr5e-05_we50_mwlr5e-05_mwe50_test_2013-01_2018-12_cnt50.csv</x:v>
      </x:c>
    </x:row>
    <x:row r="51" ht="20" customHeight="1">
      <x:c r="A51" s="27" t="str">
        <x:v>CADE</x:v>
      </x:c>
      <x:c r="B51" s="30" t="str">
        <x:v>2016-11</x:v>
      </x:c>
      <x:c r="C51" s="40" t="n">
        <x:v>50</x:v>
      </x:c>
      <x:c r="D51" s="41" t="n">
        <x:v>0.8945</x:v>
      </x:c>
      <x:c r="E51" s="41" t="n">
        <x:v>0.0879</x:v>
      </x:c>
      <x:c r="F51" s="48" t="str">
        <x:v>experiments/results/cade/50/07.22-10.54.32/cade_apigraph_127_warm_lr0.0001_adam_cosine_1_e100_wlr5e-05_we50_mwlr5e-05_mwe50_test_2013-01_2018-12_cnt50.csv</x:v>
      </x:c>
    </x:row>
    <x:row r="52" ht="20" customHeight="1">
      <x:c r="A52" s="27" t="str">
        <x:v>CADE</x:v>
      </x:c>
      <x:c r="B52" s="30" t="str">
        <x:v>2016-12</x:v>
      </x:c>
      <x:c r="C52" s="40" t="n">
        <x:v>50</x:v>
      </x:c>
      <x:c r="D52" s="41" t="n">
        <x:v>0.8262</x:v>
      </x:c>
      <x:c r="E52" s="41" t="n">
        <x:v>0.241</x:v>
      </x:c>
      <x:c r="F52" s="48" t="str">
        <x:v>experiments/results/cade/50/07.22-10.54.32/cade_apigraph_127_warm_lr0.0001_adam_cosine_1_e100_wlr5e-05_we50_mwlr5e-05_mwe50_test_2013-01_2018-12_cnt50.csv</x:v>
      </x:c>
    </x:row>
    <x:row r="53" ht="20" customHeight="1">
      <x:c r="A53" s="27" t="str">
        <x:v>CADE</x:v>
      </x:c>
      <x:c r="B53" s="30" t="str">
        <x:v>2017-01</x:v>
      </x:c>
      <x:c r="C53" s="40" t="n">
        <x:v>50</x:v>
      </x:c>
      <x:c r="D53" s="41" t="n">
        <x:v>0.8819</x:v>
      </x:c>
      <x:c r="E53" s="41" t="n">
        <x:v>0.125</x:v>
      </x:c>
      <x:c r="F53" s="48" t="str">
        <x:v>experiments/results/cade/50/07.22-10.54.32/cade_apigraph_127_warm_lr0.0001_adam_cosine_1_e100_wlr5e-05_we50_mwlr5e-05_mwe50_test_2013-01_2018-12_cnt50.csv</x:v>
      </x:c>
    </x:row>
    <x:row r="54" ht="20" customHeight="1">
      <x:c r="A54" s="27" t="str">
        <x:v>CADE</x:v>
      </x:c>
      <x:c r="B54" s="30" t="str">
        <x:v>2017-02</x:v>
      </x:c>
      <x:c r="C54" s="40" t="n">
        <x:v>50</x:v>
      </x:c>
      <x:c r="D54" s="41" t="n">
        <x:v>0.9061</x:v>
      </x:c>
      <x:c r="E54" s="41" t="n">
        <x:v>0.1087</x:v>
      </x:c>
      <x:c r="F54" s="48" t="str">
        <x:v>experiments/results/cade/50/07.22-10.54.32/cade_apigraph_127_warm_lr0.0001_adam_cosine_1_e100_wlr5e-05_we50_mwlr5e-05_mwe50_test_2013-01_2018-12_cnt50.csv</x:v>
      </x:c>
    </x:row>
    <x:row r="55" ht="20" customHeight="1">
      <x:c r="A55" s="27" t="str">
        <x:v>CADE</x:v>
      </x:c>
      <x:c r="B55" s="30" t="str">
        <x:v>2017-03</x:v>
      </x:c>
      <x:c r="C55" s="40" t="n">
        <x:v>50</x:v>
      </x:c>
      <x:c r="D55" s="41" t="n">
        <x:v>0.8387</x:v>
      </x:c>
      <x:c r="E55" s="41" t="n">
        <x:v>0.1777</x:v>
      </x:c>
      <x:c r="F55" s="48" t="str">
        <x:v>experiments/results/cade/50/07.22-10.54.32/cade_apigraph_127_warm_lr0.0001_adam_cosine_1_e100_wlr5e-05_we50_mwlr5e-05_mwe50_test_2013-01_2018-12_cnt50.csv</x:v>
      </x:c>
    </x:row>
    <x:row r="56" ht="20" customHeight="1">
      <x:c r="A56" s="27" t="str">
        <x:v>CADE</x:v>
      </x:c>
      <x:c r="B56" s="30" t="str">
        <x:v>2017-04</x:v>
      </x:c>
      <x:c r="C56" s="40" t="n">
        <x:v>50</x:v>
      </x:c>
      <x:c r="D56" s="41" t="n">
        <x:v>0.8043</x:v>
      </x:c>
      <x:c r="E56" s="41" t="n">
        <x:v>0.271</x:v>
      </x:c>
      <x:c r="F56" s="48" t="str">
        <x:v>experiments/results/cade/50/07.22-10.54.32/cade_apigraph_127_warm_lr0.0001_adam_cosine_1_e100_wlr5e-05_we50_mwlr5e-05_mwe50_test_2013-01_2018-12_cnt50.csv</x:v>
      </x:c>
    </x:row>
    <x:row r="57" ht="20" customHeight="1">
      <x:c r="A57" s="27" t="str">
        <x:v>CADE</x:v>
      </x:c>
      <x:c r="B57" s="30" t="str">
        <x:v>2017-05</x:v>
      </x:c>
      <x:c r="C57" s="40" t="n">
        <x:v>50</x:v>
      </x:c>
      <x:c r="D57" s="41" t="n">
        <x:v>0.8602</x:v>
      </x:c>
      <x:c r="E57" s="41" t="n">
        <x:v>0.1919</x:v>
      </x:c>
      <x:c r="F57" s="48" t="str">
        <x:v>experiments/results/cade/50/07.22-10.54.32/cade_apigraph_127_warm_lr0.0001_adam_cosine_1_e100_wlr5e-05_we50_mwlr5e-05_mwe50_test_2013-01_2018-12_cnt50.csv</x:v>
      </x:c>
    </x:row>
    <x:row r="58" ht="20" customHeight="1">
      <x:c r="A58" s="27" t="str">
        <x:v>CADE</x:v>
      </x:c>
      <x:c r="B58" s="30" t="str">
        <x:v>2017-06</x:v>
      </x:c>
      <x:c r="C58" s="40" t="n">
        <x:v>50</x:v>
      </x:c>
      <x:c r="D58" s="41" t="n">
        <x:v>0.7716</x:v>
      </x:c>
      <x:c r="E58" s="41" t="n">
        <x:v>0.3274</x:v>
      </x:c>
      <x:c r="F58" s="48" t="str">
        <x:v>experiments/results/cade/50/07.22-10.54.32/cade_apigraph_127_warm_lr0.0001_adam_cosine_1_e100_wlr5e-05_we50_mwlr5e-05_mwe50_test_2013-01_2018-12_cnt50.csv</x:v>
      </x:c>
    </x:row>
    <x:row r="59" ht="20" customHeight="1">
      <x:c r="A59" s="27" t="str">
        <x:v>CADE</x:v>
      </x:c>
      <x:c r="B59" s="30" t="str">
        <x:v>2017-07</x:v>
      </x:c>
      <x:c r="C59" s="40" t="n">
        <x:v>50</x:v>
      </x:c>
      <x:c r="D59" s="41" t="n">
        <x:v>0.8901</x:v>
      </x:c>
      <x:c r="E59" s="41" t="n">
        <x:v>0.1123</x:v>
      </x:c>
      <x:c r="F59" s="48" t="str">
        <x:v>experiments/results/cade/50/07.22-10.54.32/cade_apigraph_127_warm_lr0.0001_adam_cosine_1_e100_wlr5e-05_we50_mwlr5e-05_mwe50_test_2013-01_2018-12_cnt50.csv</x:v>
      </x:c>
    </x:row>
    <x:row r="60" ht="20" customHeight="1">
      <x:c r="A60" s="27" t="str">
        <x:v>CADE</x:v>
      </x:c>
      <x:c r="B60" s="30" t="str">
        <x:v>2017-08</x:v>
      </x:c>
      <x:c r="C60" s="40" t="n">
        <x:v>50</x:v>
      </x:c>
      <x:c r="D60" s="41" t="n">
        <x:v>0.9277</x:v>
      </x:c>
      <x:c r="E60" s="41" t="n">
        <x:v>0.0676</x:v>
      </x:c>
      <x:c r="F60" s="48" t="str">
        <x:v>experiments/results/cade/50/07.22-10.54.32/cade_apigraph_127_warm_lr0.0001_adam_cosine_1_e100_wlr5e-05_we50_mwlr5e-05_mwe50_test_2013-01_2018-12_cnt50.csv</x:v>
      </x:c>
    </x:row>
    <x:row r="61" ht="20" customHeight="1">
      <x:c r="A61" s="27" t="str">
        <x:v>CADE</x:v>
      </x:c>
      <x:c r="B61" s="30" t="str">
        <x:v>2017-09</x:v>
      </x:c>
      <x:c r="C61" s="40" t="n">
        <x:v>50</x:v>
      </x:c>
      <x:c r="D61" s="41" t="n">
        <x:v>0.8978</x:v>
      </x:c>
      <x:c r="E61" s="41" t="n">
        <x:v>0.0764</x:v>
      </x:c>
      <x:c r="F61" s="48" t="str">
        <x:v>experiments/results/cade/50/07.22-10.54.32/cade_apigraph_127_warm_lr0.0001_adam_cosine_1_e100_wlr5e-05_we50_mwlr5e-05_mwe50_test_2013-01_2018-12_cnt50.csv</x:v>
      </x:c>
    </x:row>
    <x:row r="62" ht="20" customHeight="1">
      <x:c r="A62" s="27" t="str">
        <x:v>CADE</x:v>
      </x:c>
      <x:c r="B62" s="30" t="str">
        <x:v>2017-10</x:v>
      </x:c>
      <x:c r="C62" s="40" t="n">
        <x:v>50</x:v>
      </x:c>
      <x:c r="D62" s="41" t="n">
        <x:v>0.9095</x:v>
      </x:c>
      <x:c r="E62" s="41" t="n">
        <x:v>0.1131</x:v>
      </x:c>
      <x:c r="F62" s="48" t="str">
        <x:v>experiments/results/cade/50/07.22-10.54.32/cade_apigraph_127_warm_lr0.0001_adam_cosine_1_e100_wlr5e-05_we50_mwlr5e-05_mwe50_test_2013-01_2018-12_cnt50.csv</x:v>
      </x:c>
    </x:row>
    <x:row r="63" ht="20" customHeight="1">
      <x:c r="A63" s="27" t="str">
        <x:v>CADE</x:v>
      </x:c>
      <x:c r="B63" s="30" t="str">
        <x:v>2017-11</x:v>
      </x:c>
      <x:c r="C63" s="40" t="n">
        <x:v>50</x:v>
      </x:c>
      <x:c r="D63" s="41" t="n">
        <x:v>0.913</x:v>
      </x:c>
      <x:c r="E63" s="41" t="n">
        <x:v>0.087</x:v>
      </x:c>
      <x:c r="F63" s="48" t="str">
        <x:v>experiments/results/cade/50/07.22-10.54.32/cade_apigraph_127_warm_lr0.0001_adam_cosine_1_e100_wlr5e-05_we50_mwlr5e-05_mwe50_test_2013-01_2018-12_cnt50.csv</x:v>
      </x:c>
    </x:row>
    <x:row r="64" ht="20" customHeight="1">
      <x:c r="A64" s="27" t="str">
        <x:v>CADE</x:v>
      </x:c>
      <x:c r="B64" s="30" t="str">
        <x:v>2017-12</x:v>
      </x:c>
      <x:c r="C64" s="40" t="n">
        <x:v>50</x:v>
      </x:c>
      <x:c r="D64" s="41" t="n">
        <x:v>0.9057</x:v>
      </x:c>
      <x:c r="E64" s="41" t="n">
        <x:v>0.04</x:v>
      </x:c>
      <x:c r="F64" s="48" t="str">
        <x:v>experiments/results/cade/50/07.22-10.54.32/cade_apigraph_127_warm_lr0.0001_adam_cosine_1_e100_wlr5e-05_we50_mwlr5e-05_mwe50_test_2013-01_2018-12_cnt50.csv</x:v>
      </x:c>
    </x:row>
    <x:row r="65" ht="20" customHeight="1">
      <x:c r="A65" s="27" t="str">
        <x:v>CADE</x:v>
      </x:c>
      <x:c r="B65" s="30" t="str">
        <x:v>2018-01</x:v>
      </x:c>
      <x:c r="C65" s="40" t="n">
        <x:v>50</x:v>
      </x:c>
      <x:c r="D65" s="41" t="n">
        <x:v>0.8867</x:v>
      </x:c>
      <x:c r="E65" s="41" t="n">
        <x:v>0.1307</x:v>
      </x:c>
      <x:c r="F65" s="48" t="str">
        <x:v>experiments/results/cade/50/07.22-10.54.32/cade_apigraph_127_warm_lr0.0001_adam_cosine_1_e100_wlr5e-05_we50_mwlr5e-05_mwe50_test_2013-01_2018-12_cnt50.csv</x:v>
      </x:c>
    </x:row>
    <x:row r="66" ht="20" customHeight="1">
      <x:c r="A66" s="27" t="str">
        <x:v>CADE</x:v>
      </x:c>
      <x:c r="B66" s="30" t="str">
        <x:v>2018-02</x:v>
      </x:c>
      <x:c r="C66" s="40" t="n">
        <x:v>50</x:v>
      </x:c>
      <x:c r="D66" s="41" t="n">
        <x:v>0.9137</x:v>
      </x:c>
      <x:c r="E66" s="41" t="n">
        <x:v>0.1241</x:v>
      </x:c>
      <x:c r="F66" s="48" t="str">
        <x:v>experiments/results/cade/50/07.22-10.54.32/cade_apigraph_127_warm_lr0.0001_adam_cosine_1_e100_wlr5e-05_we50_mwlr5e-05_mwe50_test_2013-01_2018-12_cnt50.csv</x:v>
      </x:c>
    </x:row>
    <x:row r="67" ht="20" customHeight="1">
      <x:c r="A67" s="27" t="str">
        <x:v>CADE</x:v>
      </x:c>
      <x:c r="B67" s="30" t="str">
        <x:v>2018-03</x:v>
      </x:c>
      <x:c r="C67" s="40" t="n">
        <x:v>50</x:v>
      </x:c>
      <x:c r="D67" s="41" t="n">
        <x:v>0.8964</x:v>
      </x:c>
      <x:c r="E67" s="41" t="n">
        <x:v>0.0839</x:v>
      </x:c>
      <x:c r="F67" s="48" t="str">
        <x:v>experiments/results/cade/50/07.22-10.54.32/cade_apigraph_127_warm_lr0.0001_adam_cosine_1_e100_wlr5e-05_we50_mwlr5e-05_mwe50_test_2013-01_2018-12_cnt50.csv</x:v>
      </x:c>
    </x:row>
    <x:row r="68" ht="20" customHeight="1">
      <x:c r="A68" s="27" t="str">
        <x:v>CADE</x:v>
      </x:c>
      <x:c r="B68" s="30" t="str">
        <x:v>2018-04</x:v>
      </x:c>
      <x:c r="C68" s="40" t="n">
        <x:v>50</x:v>
      </x:c>
      <x:c r="D68" s="41" t="n">
        <x:v>0.9184</x:v>
      </x:c>
      <x:c r="E68" s="41" t="n">
        <x:v>0.0783</x:v>
      </x:c>
      <x:c r="F68" s="48" t="str">
        <x:v>experiments/results/cade/50/07.22-10.54.32/cade_apigraph_127_warm_lr0.0001_adam_cosine_1_e100_wlr5e-05_we50_mwlr5e-05_mwe50_test_2013-01_2018-12_cnt50.csv</x:v>
      </x:c>
    </x:row>
    <x:row r="69" ht="20" customHeight="1">
      <x:c r="A69" s="27" t="str">
        <x:v>CADE</x:v>
      </x:c>
      <x:c r="B69" s="30" t="str">
        <x:v>2018-05</x:v>
      </x:c>
      <x:c r="C69" s="40" t="n">
        <x:v>50</x:v>
      </x:c>
      <x:c r="D69" s="41" t="n">
        <x:v>0.9156</x:v>
      </x:c>
      <x:c r="E69" s="41" t="n">
        <x:v>0.1033</x:v>
      </x:c>
      <x:c r="F69" s="48" t="str">
        <x:v>experiments/results/cade/50/07.22-10.54.32/cade_apigraph_127_warm_lr0.0001_adam_cosine_1_e100_wlr5e-05_we50_mwlr5e-05_mwe50_test_2013-01_2018-12_cnt50.csv</x:v>
      </x:c>
    </x:row>
    <x:row r="70" ht="20" customHeight="1">
      <x:c r="A70" s="27" t="str">
        <x:v>CADE</x:v>
      </x:c>
      <x:c r="B70" s="30" t="str">
        <x:v>2018-06</x:v>
      </x:c>
      <x:c r="C70" s="40" t="n">
        <x:v>50</x:v>
      </x:c>
      <x:c r="D70" s="41" t="n">
        <x:v>0.9066</x:v>
      </x:c>
      <x:c r="E70" s="41" t="n">
        <x:v>0.1569</x:v>
      </x:c>
      <x:c r="F70" s="48" t="str">
        <x:v>experiments/results/cade/50/07.22-10.54.32/cade_apigraph_127_warm_lr0.0001_adam_cosine_1_e100_wlr5e-05_we50_mwlr5e-05_mwe50_test_2013-01_2018-12_cnt50.csv</x:v>
      </x:c>
    </x:row>
    <x:row r="71" ht="20" customHeight="1">
      <x:c r="A71" s="27" t="str">
        <x:v>CADE</x:v>
      </x:c>
      <x:c r="B71" s="30" t="str">
        <x:v>2018-07</x:v>
      </x:c>
      <x:c r="C71" s="40" t="n">
        <x:v>50</x:v>
      </x:c>
      <x:c r="D71" s="41" t="n">
        <x:v>0.8869</x:v>
      </x:c>
      <x:c r="E71" s="41" t="n">
        <x:v>0.1721</x:v>
      </x:c>
      <x:c r="F71" s="48" t="str">
        <x:v>experiments/results/cade/50/07.22-10.54.32/cade_apigraph_127_warm_lr0.0001_adam_cosine_1_e100_wlr5e-05_we50_mwlr5e-05_mwe50_test_2013-01_2018-12_cnt50.csv</x:v>
      </x:c>
    </x:row>
    <x:row r="72" ht="20" customHeight="1">
      <x:c r="A72" s="27" t="str">
        <x:v>CADE</x:v>
      </x:c>
      <x:c r="B72" s="30" t="str">
        <x:v>2018-08</x:v>
      </x:c>
      <x:c r="C72" s="40" t="n">
        <x:v>50</x:v>
      </x:c>
      <x:c r="D72" s="41" t="n">
        <x:v>0.8901</x:v>
      </x:c>
      <x:c r="E72" s="41" t="n">
        <x:v>0.1237</x:v>
      </x:c>
      <x:c r="F72" s="48" t="str">
        <x:v>experiments/results/cade/50/07.22-10.54.32/cade_apigraph_127_warm_lr0.0001_adam_cosine_1_e100_wlr5e-05_we50_mwlr5e-05_mwe50_test_2013-01_2018-12_cnt50.csv</x:v>
      </x:c>
    </x:row>
    <x:row r="73" ht="20" customHeight="1">
      <x:c r="A73" s="27" t="str">
        <x:v>CADE</x:v>
      </x:c>
      <x:c r="B73" s="30" t="str">
        <x:v>2018-09</x:v>
      </x:c>
      <x:c r="C73" s="40" t="n">
        <x:v>50</x:v>
      </x:c>
      <x:c r="D73" s="41" t="n">
        <x:v>0.821</x:v>
      </x:c>
      <x:c r="E73" s="41" t="n">
        <x:v>0.2642</x:v>
      </x:c>
      <x:c r="F73" s="48" t="str">
        <x:v>experiments/results/cade/50/07.22-10.54.32/cade_apigraph_127_warm_lr0.0001_adam_cosine_1_e100_wlr5e-05_we50_mwlr5e-05_mwe50_test_2013-01_2018-12_cnt50.csv</x:v>
      </x:c>
    </x:row>
    <x:row r="74" ht="20" customHeight="1">
      <x:c r="A74" s="27" t="str">
        <x:v>CADE</x:v>
      </x:c>
      <x:c r="B74" s="30" t="str">
        <x:v>2018-10</x:v>
      </x:c>
      <x:c r="C74" s="40" t="n">
        <x:v>50</x:v>
      </x:c>
      <x:c r="D74" s="41" t="n">
        <x:v>0.8726</x:v>
      </x:c>
      <x:c r="E74" s="41" t="n">
        <x:v>0.2008</x:v>
      </x:c>
      <x:c r="F74" s="48" t="str">
        <x:v>experiments/results/cade/50/07.22-10.54.32/cade_apigraph_127_warm_lr0.0001_adam_cosine_1_e100_wlr5e-05_we50_mwlr5e-05_mwe50_test_2013-01_2018-12_cnt50.csv</x:v>
      </x:c>
    </x:row>
    <x:row r="75" ht="20" customHeight="1">
      <x:c r="A75" s="27" t="str">
        <x:v>CADE</x:v>
      </x:c>
      <x:c r="B75" s="30" t="str">
        <x:v>2018-11</x:v>
      </x:c>
      <x:c r="C75" s="40" t="n">
        <x:v>50</x:v>
      </x:c>
      <x:c r="D75" s="41" t="n">
        <x:v>0.9427</x:v>
      </x:c>
      <x:c r="E75" s="41" t="n">
        <x:v>0.0836</x:v>
      </x:c>
      <x:c r="F75" s="48" t="str">
        <x:v>experiments/results/cade/50/07.22-10.54.32/cade_apigraph_127_warm_lr0.0001_adam_cosine_1_e100_wlr5e-05_we50_mwlr5e-05_mwe50_test_2013-01_2018-12_cnt50.csv</x:v>
      </x:c>
    </x:row>
    <x:row r="76" ht="20" customHeight="1">
      <x:c r="A76" s="27" t="str">
        <x:v>CADE</x:v>
      </x:c>
      <x:c r="B76" s="30" t="str">
        <x:v>2018-12</x:v>
      </x:c>
      <x:c r="C76" s="40" t="n">
        <x:v>50</x:v>
      </x:c>
      <x:c r="D76" s="41" t="n">
        <x:v>0.9666</x:v>
      </x:c>
      <x:c r="E76" s="41" t="n">
        <x:v>0.0259</x:v>
      </x:c>
      <x:c r="F76" s="48" t="str">
        <x:v>experiments/results/cade/50/07.22-10.54.32/cade_apigraph_127_warm_lr0.0001_adam_cosine_1_e100_wlr5e-05_we50_mwlr5e-05_mwe50_test_2013-01_2018-12_cnt50.csv</x:v>
      </x:c>
    </x:row>
    <x:row r="77" ht="20" customHeight="1">
      <x:c r="A77" s="27" t="str">
        <x:v>CADE</x:v>
      </x:c>
      <x:c r="B77" s="30" t="str">
        <x:v>2013-01</x:v>
      </x:c>
      <x:c r="C77" s="40" t="n">
        <x:v>100</x:v>
      </x:c>
      <x:c r="D77" s="41" t="n">
        <x:v>0.9391</x:v>
      </x:c>
      <x:c r="E77" s="41" t="n">
        <x:v>0.028</x:v>
      </x:c>
      <x:c r="F77" s="48" t="str">
        <x:v>experiments/results/cade/100/07.22-11.27.35/cade_apigraph_127_warm_lr0.0001_adam_cosine_1_e100_wlr5e-05_we50_mwlr5e-05_mwe50_test_2013-01_2018-12_cnt100.csv</x:v>
      </x:c>
    </x:row>
    <x:row r="78" ht="20" customHeight="1">
      <x:c r="A78" s="27" t="str">
        <x:v>CADE</x:v>
      </x:c>
      <x:c r="B78" s="30" t="str">
        <x:v>2013-02</x:v>
      </x:c>
      <x:c r="C78" s="40" t="n">
        <x:v>100</x:v>
      </x:c>
      <x:c r="D78" s="41" t="n">
        <x:v>0.8874</x:v>
      </x:c>
      <x:c r="E78" s="41" t="n">
        <x:v>0.15</x:v>
      </x:c>
      <x:c r="F78" s="48" t="str">
        <x:v>experiments/results/cade/100/07.22-11.27.35/cade_apigraph_127_warm_lr0.0001_adam_cosine_1_e100_wlr5e-05_we50_mwlr5e-05_mwe50_test_2013-01_2018-12_cnt100.csv</x:v>
      </x:c>
    </x:row>
    <x:row r="79" ht="20" customHeight="1">
      <x:c r="A79" s="27" t="str">
        <x:v>CADE</x:v>
      </x:c>
      <x:c r="B79" s="30" t="str">
        <x:v>2013-03</x:v>
      </x:c>
      <x:c r="C79" s="40" t="n">
        <x:v>100</x:v>
      </x:c>
      <x:c r="D79" s="41" t="n">
        <x:v>0.8961</x:v>
      </x:c>
      <x:c r="E79" s="41" t="n">
        <x:v>0.1039</x:v>
      </x:c>
      <x:c r="F79" s="48" t="str">
        <x:v>experiments/results/cade/100/07.22-11.27.35/cade_apigraph_127_warm_lr0.0001_adam_cosine_1_e100_wlr5e-05_we50_mwlr5e-05_mwe50_test_2013-01_2018-12_cnt100.csv</x:v>
      </x:c>
    </x:row>
    <x:row r="80" ht="20" customHeight="1">
      <x:c r="A80" s="27" t="str">
        <x:v>CADE</x:v>
      </x:c>
      <x:c r="B80" s="30" t="str">
        <x:v>2013-04</x:v>
      </x:c>
      <x:c r="C80" s="40" t="n">
        <x:v>100</x:v>
      </x:c>
      <x:c r="D80" s="41" t="n">
        <x:v>0.9079</x:v>
      </x:c>
      <x:c r="E80" s="41" t="n">
        <x:v>0.0874</x:v>
      </x:c>
      <x:c r="F80" s="48" t="str">
        <x:v>experiments/results/cade/100/07.22-11.27.35/cade_apigraph_127_warm_lr0.0001_adam_cosine_1_e100_wlr5e-05_we50_mwlr5e-05_mwe50_test_2013-01_2018-12_cnt100.csv</x:v>
      </x:c>
    </x:row>
    <x:row r="81" ht="20" customHeight="1">
      <x:c r="A81" s="27" t="str">
        <x:v>CADE</x:v>
      </x:c>
      <x:c r="B81" s="30" t="str">
        <x:v>2013-05</x:v>
      </x:c>
      <x:c r="C81" s="40" t="n">
        <x:v>100</x:v>
      </x:c>
      <x:c r="D81" s="41" t="n">
        <x:v>0.8865</x:v>
      </x:c>
      <x:c r="E81" s="41" t="n">
        <x:v>0.1411</x:v>
      </x:c>
      <x:c r="F81" s="48" t="str">
        <x:v>experiments/results/cade/100/07.22-11.27.35/cade_apigraph_127_warm_lr0.0001_adam_cosine_1_e100_wlr5e-05_we50_mwlr5e-05_mwe50_test_2013-01_2018-12_cnt100.csv</x:v>
      </x:c>
    </x:row>
    <x:row r="82" ht="20" customHeight="1">
      <x:c r="A82" s="27" t="str">
        <x:v>CADE</x:v>
      </x:c>
      <x:c r="B82" s="30" t="str">
        <x:v>2013-06</x:v>
      </x:c>
      <x:c r="C82" s="40" t="n">
        <x:v>100</x:v>
      </x:c>
      <x:c r="D82" s="41" t="n">
        <x:v>0.894</x:v>
      </x:c>
      <x:c r="E82" s="41" t="n">
        <x:v>0.0888</x:v>
      </x:c>
      <x:c r="F82" s="48" t="str">
        <x:v>experiments/results/cade/100/07.22-11.27.35/cade_apigraph_127_warm_lr0.0001_adam_cosine_1_e100_wlr5e-05_we50_mwlr5e-05_mwe50_test_2013-01_2018-12_cnt100.csv</x:v>
      </x:c>
    </x:row>
    <x:row r="83" ht="20" customHeight="1">
      <x:c r="A83" s="27" t="str">
        <x:v>CADE</x:v>
      </x:c>
      <x:c r="B83" s="30" t="str">
        <x:v>2013-07</x:v>
      </x:c>
      <x:c r="C83" s="40" t="n">
        <x:v>100</x:v>
      </x:c>
      <x:c r="D83" s="41" t="n">
        <x:v>0.9035</x:v>
      </x:c>
      <x:c r="E83" s="41" t="n">
        <x:v>0.0751</x:v>
      </x:c>
      <x:c r="F83" s="48" t="str">
        <x:v>experiments/results/cade/100/07.22-11.27.35/cade_apigraph_127_warm_lr0.0001_adam_cosine_1_e100_wlr5e-05_we50_mwlr5e-05_mwe50_test_2013-01_2018-12_cnt100.csv</x:v>
      </x:c>
    </x:row>
    <x:row r="84" ht="20" customHeight="1">
      <x:c r="A84" s="27" t="str">
        <x:v>CADE</x:v>
      </x:c>
      <x:c r="B84" s="30" t="str">
        <x:v>2013-08</x:v>
      </x:c>
      <x:c r="C84" s="40" t="n">
        <x:v>100</x:v>
      </x:c>
      <x:c r="D84" s="41" t="n">
        <x:v>0.9064</x:v>
      </x:c>
      <x:c r="E84" s="41" t="n">
        <x:v>0.0992</x:v>
      </x:c>
      <x:c r="F84" s="48" t="str">
        <x:v>experiments/results/cade/100/07.22-11.27.35/cade_apigraph_127_warm_lr0.0001_adam_cosine_1_e100_wlr5e-05_we50_mwlr5e-05_mwe50_test_2013-01_2018-12_cnt100.csv</x:v>
      </x:c>
    </x:row>
    <x:row r="85" ht="20" customHeight="1">
      <x:c r="A85" s="27" t="str">
        <x:v>CADE</x:v>
      </x:c>
      <x:c r="B85" s="30" t="str">
        <x:v>2013-09</x:v>
      </x:c>
      <x:c r="C85" s="40" t="n">
        <x:v>100</x:v>
      </x:c>
      <x:c r="D85" s="41" t="n">
        <x:v>0.8966</x:v>
      </x:c>
      <x:c r="E85" s="41" t="n">
        <x:v>0.09</x:v>
      </x:c>
      <x:c r="F85" s="48" t="str">
        <x:v>experiments/results/cade/100/07.22-11.27.35/cade_apigraph_127_warm_lr0.0001_adam_cosine_1_e100_wlr5e-05_we50_mwlr5e-05_mwe50_test_2013-01_2018-12_cnt100.csv</x:v>
      </x:c>
    </x:row>
    <x:row r="86" ht="20" customHeight="1">
      <x:c r="A86" s="27" t="str">
        <x:v>CADE</x:v>
      </x:c>
      <x:c r="B86" s="30" t="str">
        <x:v>2013-10</x:v>
      </x:c>
      <x:c r="C86" s="40" t="n">
        <x:v>100</x:v>
      </x:c>
      <x:c r="D86" s="41" t="n">
        <x:v>0.9045</x:v>
      </x:c>
      <x:c r="E86" s="41" t="n">
        <x:v>0.1082</x:v>
      </x:c>
      <x:c r="F86" s="48" t="str">
        <x:v>experiments/results/cade/100/07.22-11.27.35/cade_apigraph_127_warm_lr0.0001_adam_cosine_1_e100_wlr5e-05_we50_mwlr5e-05_mwe50_test_2013-01_2018-12_cnt100.csv</x:v>
      </x:c>
    </x:row>
    <x:row r="87" ht="20" customHeight="1">
      <x:c r="A87" s="27" t="str">
        <x:v>CADE</x:v>
      </x:c>
      <x:c r="B87" s="30" t="str">
        <x:v>2013-11</x:v>
      </x:c>
      <x:c r="C87" s="40" t="n">
        <x:v>100</x:v>
      </x:c>
      <x:c r="D87" s="41" t="n">
        <x:v>0.8809</x:v>
      </x:c>
      <x:c r="E87" s="41" t="n">
        <x:v>0.1556</x:v>
      </x:c>
      <x:c r="F87" s="48" t="str">
        <x:v>experiments/results/cade/100/07.22-11.27.35/cade_apigraph_127_warm_lr0.0001_adam_cosine_1_e100_wlr5e-05_we50_mwlr5e-05_mwe50_test_2013-01_2018-12_cnt100.csv</x:v>
      </x:c>
    </x:row>
    <x:row r="88" ht="20" customHeight="1">
      <x:c r="A88" s="27" t="str">
        <x:v>CADE</x:v>
      </x:c>
      <x:c r="B88" s="30" t="str">
        <x:v>2013-12</x:v>
      </x:c>
      <x:c r="C88" s="40" t="n">
        <x:v>100</x:v>
      </x:c>
      <x:c r="D88" s="41" t="n">
        <x:v>0.9321</x:v>
      </x:c>
      <x:c r="E88" s="41" t="n">
        <x:v>0.0782</x:v>
      </x:c>
      <x:c r="F88" s="48" t="str">
        <x:v>experiments/results/cade/100/07.22-11.27.35/cade_apigraph_127_warm_lr0.0001_adam_cosine_1_e100_wlr5e-05_we50_mwlr5e-05_mwe50_test_2013-01_2018-12_cnt100.csv</x:v>
      </x:c>
    </x:row>
    <x:row r="89" ht="20" customHeight="1">
      <x:c r="A89" s="27" t="str">
        <x:v>CADE</x:v>
      </x:c>
      <x:c r="B89" s="30" t="str">
        <x:v>2014-01</x:v>
      </x:c>
      <x:c r="C89" s="40" t="n">
        <x:v>100</x:v>
      </x:c>
      <x:c r="D89" s="41" t="n">
        <x:v>0.8963</x:v>
      </x:c>
      <x:c r="E89" s="41" t="n">
        <x:v>0.1055</x:v>
      </x:c>
      <x:c r="F89" s="48" t="str">
        <x:v>experiments/results/cade/100/07.22-11.27.35/cade_apigraph_127_warm_lr0.0001_adam_cosine_1_e100_wlr5e-05_we50_mwlr5e-05_mwe50_test_2013-01_2018-12_cnt100.csv</x:v>
      </x:c>
    </x:row>
    <x:row r="90" ht="20" customHeight="1">
      <x:c r="A90" s="27" t="str">
        <x:v>CADE</x:v>
      </x:c>
      <x:c r="B90" s="30" t="str">
        <x:v>2014-02</x:v>
      </x:c>
      <x:c r="C90" s="40" t="n">
        <x:v>100</x:v>
      </x:c>
      <x:c r="D90" s="41" t="n">
        <x:v>0.9213</x:v>
      </x:c>
      <x:c r="E90" s="41" t="n">
        <x:v>0.0545</x:v>
      </x:c>
      <x:c r="F90" s="48" t="str">
        <x:v>experiments/results/cade/100/07.22-11.27.35/cade_apigraph_127_warm_lr0.0001_adam_cosine_1_e100_wlr5e-05_we50_mwlr5e-05_mwe50_test_2013-01_2018-12_cnt100.csv</x:v>
      </x:c>
    </x:row>
    <x:row r="91" ht="20" customHeight="1">
      <x:c r="A91" s="27" t="str">
        <x:v>CADE</x:v>
      </x:c>
      <x:c r="B91" s="30" t="str">
        <x:v>2014-03</x:v>
      </x:c>
      <x:c r="C91" s="40" t="n">
        <x:v>100</x:v>
      </x:c>
      <x:c r="D91" s="41" t="n">
        <x:v>0.8768</x:v>
      </x:c>
      <x:c r="E91" s="41" t="n">
        <x:v>0.085</x:v>
      </x:c>
      <x:c r="F91" s="48" t="str">
        <x:v>experiments/results/cade/100/07.22-11.27.35/cade_apigraph_127_warm_lr0.0001_adam_cosine_1_e100_wlr5e-05_we50_mwlr5e-05_mwe50_test_2013-01_2018-12_cnt100.csv</x:v>
      </x:c>
    </x:row>
    <x:row r="92" ht="20" customHeight="1">
      <x:c r="A92" s="27" t="str">
        <x:v>CADE</x:v>
      </x:c>
      <x:c r="B92" s="30" t="str">
        <x:v>2014-04</x:v>
      </x:c>
      <x:c r="C92" s="40" t="n">
        <x:v>100</x:v>
      </x:c>
      <x:c r="D92" s="41" t="n">
        <x:v>0.876</x:v>
      </x:c>
      <x:c r="E92" s="41" t="n">
        <x:v>0.1091</x:v>
      </x:c>
      <x:c r="F92" s="48" t="str">
        <x:v>experiments/results/cade/100/07.22-11.27.35/cade_apigraph_127_warm_lr0.0001_adam_cosine_1_e100_wlr5e-05_we50_mwlr5e-05_mwe50_test_2013-01_2018-12_cnt100.csv</x:v>
      </x:c>
    </x:row>
    <x:row r="93" ht="20" customHeight="1">
      <x:c r="A93" s="27" t="str">
        <x:v>CADE</x:v>
      </x:c>
      <x:c r="B93" s="30" t="str">
        <x:v>2014-05</x:v>
      </x:c>
      <x:c r="C93" s="40" t="n">
        <x:v>100</x:v>
      </x:c>
      <x:c r="D93" s="41" t="n">
        <x:v>0.8865</x:v>
      </x:c>
      <x:c r="E93" s="41" t="n">
        <x:v>0.0885</x:v>
      </x:c>
      <x:c r="F93" s="48" t="str">
        <x:v>experiments/results/cade/100/07.22-11.27.35/cade_apigraph_127_warm_lr0.0001_adam_cosine_1_e100_wlr5e-05_we50_mwlr5e-05_mwe50_test_2013-01_2018-12_cnt100.csv</x:v>
      </x:c>
    </x:row>
    <x:row r="94" ht="20" customHeight="1">
      <x:c r="A94" s="27" t="str">
        <x:v>CADE</x:v>
      </x:c>
      <x:c r="B94" s="30" t="str">
        <x:v>2014-06</x:v>
      </x:c>
      <x:c r="C94" s="40" t="n">
        <x:v>100</x:v>
      </x:c>
      <x:c r="D94" s="41" t="n">
        <x:v>0.7881</x:v>
      </x:c>
      <x:c r="E94" s="41" t="n">
        <x:v>0.257</x:v>
      </x:c>
      <x:c r="F94" s="48" t="str">
        <x:v>experiments/results/cade/100/07.22-11.27.35/cade_apigraph_127_warm_lr0.0001_adam_cosine_1_e100_wlr5e-05_we50_mwlr5e-05_mwe50_test_2013-01_2018-12_cnt100.csv</x:v>
      </x:c>
    </x:row>
    <x:row r="95" ht="20" customHeight="1">
      <x:c r="A95" s="27" t="str">
        <x:v>CADE</x:v>
      </x:c>
      <x:c r="B95" s="30" t="str">
        <x:v>2014-07</x:v>
      </x:c>
      <x:c r="C95" s="40" t="n">
        <x:v>100</x:v>
      </x:c>
      <x:c r="D95" s="41" t="n">
        <x:v>0.7902</x:v>
      </x:c>
      <x:c r="E95" s="41" t="n">
        <x:v>0.2565</x:v>
      </x:c>
      <x:c r="F95" s="48" t="str">
        <x:v>experiments/results/cade/100/07.22-11.27.35/cade_apigraph_127_warm_lr0.0001_adam_cosine_1_e100_wlr5e-05_we50_mwlr5e-05_mwe50_test_2013-01_2018-12_cnt100.csv</x:v>
      </x:c>
    </x:row>
    <x:row r="96" ht="20" customHeight="1">
      <x:c r="A96" s="27" t="str">
        <x:v>CADE</x:v>
      </x:c>
      <x:c r="B96" s="30" t="str">
        <x:v>2014-08</x:v>
      </x:c>
      <x:c r="C96" s="40" t="n">
        <x:v>100</x:v>
      </x:c>
      <x:c r="D96" s="41" t="n">
        <x:v>0.8319</x:v>
      </x:c>
      <x:c r="E96" s="41" t="n">
        <x:v>0.2117</x:v>
      </x:c>
      <x:c r="F96" s="48" t="str">
        <x:v>experiments/results/cade/100/07.22-11.27.35/cade_apigraph_127_warm_lr0.0001_adam_cosine_1_e100_wlr5e-05_we50_mwlr5e-05_mwe50_test_2013-01_2018-12_cnt100.csv</x:v>
      </x:c>
    </x:row>
    <x:row r="97" ht="20" customHeight="1">
      <x:c r="A97" s="27" t="str">
        <x:v>CADE</x:v>
      </x:c>
      <x:c r="B97" s="30" t="str">
        <x:v>2014-09</x:v>
      </x:c>
      <x:c r="C97" s="40" t="n">
        <x:v>100</x:v>
      </x:c>
      <x:c r="D97" s="41" t="n">
        <x:v>0.8325</x:v>
      </x:c>
      <x:c r="E97" s="41" t="n">
        <x:v>0.2227</x:v>
      </x:c>
      <x:c r="F97" s="48" t="str">
        <x:v>experiments/results/cade/100/07.22-11.27.35/cade_apigraph_127_warm_lr0.0001_adam_cosine_1_e100_wlr5e-05_we50_mwlr5e-05_mwe50_test_2013-01_2018-12_cnt100.csv</x:v>
      </x:c>
    </x:row>
    <x:row r="98" ht="20" customHeight="1">
      <x:c r="A98" s="27" t="str">
        <x:v>CADE</x:v>
      </x:c>
      <x:c r="B98" s="30" t="str">
        <x:v>2014-10</x:v>
      </x:c>
      <x:c r="C98" s="40" t="n">
        <x:v>100</x:v>
      </x:c>
      <x:c r="D98" s="41" t="n">
        <x:v>0.8315</x:v>
      </x:c>
      <x:c r="E98" s="41" t="n">
        <x:v>0.2229</x:v>
      </x:c>
      <x:c r="F98" s="48" t="str">
        <x:v>experiments/results/cade/100/07.22-11.27.35/cade_apigraph_127_warm_lr0.0001_adam_cosine_1_e100_wlr5e-05_we50_mwlr5e-05_mwe50_test_2013-01_2018-12_cnt100.csv</x:v>
      </x:c>
    </x:row>
    <x:row r="99" ht="20" customHeight="1">
      <x:c r="A99" s="27" t="str">
        <x:v>CADE</x:v>
      </x:c>
      <x:c r="B99" s="30" t="str">
        <x:v>2014-11</x:v>
      </x:c>
      <x:c r="C99" s="40" t="n">
        <x:v>100</x:v>
      </x:c>
      <x:c r="D99" s="41" t="n">
        <x:v>0.8747</x:v>
      </x:c>
      <x:c r="E99" s="41" t="n">
        <x:v>0.1217</x:v>
      </x:c>
      <x:c r="F99" s="48" t="str">
        <x:v>experiments/results/cade/100/07.22-11.27.35/cade_apigraph_127_warm_lr0.0001_adam_cosine_1_e100_wlr5e-05_we50_mwlr5e-05_mwe50_test_2013-01_2018-12_cnt100.csv</x:v>
      </x:c>
    </x:row>
    <x:row r="100" ht="20" customHeight="1">
      <x:c r="A100" s="27" t="str">
        <x:v>CADE</x:v>
      </x:c>
      <x:c r="B100" s="30" t="str">
        <x:v>2014-12</x:v>
      </x:c>
      <x:c r="C100" s="40" t="n">
        <x:v>100</x:v>
      </x:c>
      <x:c r="D100" s="41" t="n">
        <x:v>0.8384</x:v>
      </x:c>
      <x:c r="E100" s="41" t="n">
        <x:v>0.1947</x:v>
      </x:c>
      <x:c r="F100" s="48" t="str">
        <x:v>experiments/results/cade/100/07.22-11.27.35/cade_apigraph_127_warm_lr0.0001_adam_cosine_1_e100_wlr5e-05_we50_mwlr5e-05_mwe50_test_2013-01_2018-12_cnt100.csv</x:v>
      </x:c>
    </x:row>
    <x:row r="101" ht="20" customHeight="1">
      <x:c r="A101" s="27" t="str">
        <x:v>CADE</x:v>
      </x:c>
      <x:c r="B101" s="30" t="str">
        <x:v>2015-01</x:v>
      </x:c>
      <x:c r="C101" s="40" t="n">
        <x:v>100</x:v>
      </x:c>
      <x:c r="D101" s="41" t="n">
        <x:v>0.8556</x:v>
      </x:c>
      <x:c r="E101" s="41" t="n">
        <x:v>0.1757</x:v>
      </x:c>
      <x:c r="F101" s="48" t="str">
        <x:v>experiments/results/cade/100/07.22-11.27.35/cade_apigraph_127_warm_lr0.0001_adam_cosine_1_e100_wlr5e-05_we50_mwlr5e-05_mwe50_test_2013-01_2018-12_cnt100.csv</x:v>
      </x:c>
    </x:row>
    <x:row r="102" ht="20" customHeight="1">
      <x:c r="A102" s="27" t="str">
        <x:v>CADE</x:v>
      </x:c>
      <x:c r="B102" s="30" t="str">
        <x:v>2015-02</x:v>
      </x:c>
      <x:c r="C102" s="40" t="n">
        <x:v>100</x:v>
      </x:c>
      <x:c r="D102" s="41" t="n">
        <x:v>0.9117</x:v>
      </x:c>
      <x:c r="E102" s="41" t="n">
        <x:v>0.0788</x:v>
      </x:c>
      <x:c r="F102" s="48" t="str">
        <x:v>experiments/results/cade/100/07.22-11.27.35/cade_apigraph_127_warm_lr0.0001_adam_cosine_1_e100_wlr5e-05_we50_mwlr5e-05_mwe50_test_2013-01_2018-12_cnt100.csv</x:v>
      </x:c>
    </x:row>
    <x:row r="103" ht="20" customHeight="1">
      <x:c r="A103" s="27" t="str">
        <x:v>CADE</x:v>
      </x:c>
      <x:c r="B103" s="30" t="str">
        <x:v>2015-03</x:v>
      </x:c>
      <x:c r="C103" s="40" t="n">
        <x:v>100</x:v>
      </x:c>
      <x:c r="D103" s="41" t="n">
        <x:v>0.9083</x:v>
      </x:c>
      <x:c r="E103" s="41" t="n">
        <x:v>0.1062</x:v>
      </x:c>
      <x:c r="F103" s="48" t="str">
        <x:v>experiments/results/cade/100/07.22-11.27.35/cade_apigraph_127_warm_lr0.0001_adam_cosine_1_e100_wlr5e-05_we50_mwlr5e-05_mwe50_test_2013-01_2018-12_cnt100.csv</x:v>
      </x:c>
    </x:row>
    <x:row r="104" ht="20" customHeight="1">
      <x:c r="A104" s="27" t="str">
        <x:v>CADE</x:v>
      </x:c>
      <x:c r="B104" s="30" t="str">
        <x:v>2015-04</x:v>
      </x:c>
      <x:c r="C104" s="40" t="n">
        <x:v>100</x:v>
      </x:c>
      <x:c r="D104" s="41" t="n">
        <x:v>0.9101</x:v>
      </x:c>
      <x:c r="E104" s="41" t="n">
        <x:v>0.0899</x:v>
      </x:c>
      <x:c r="F104" s="48" t="str">
        <x:v>experiments/results/cade/100/07.22-11.27.35/cade_apigraph_127_warm_lr0.0001_adam_cosine_1_e100_wlr5e-05_we50_mwlr5e-05_mwe50_test_2013-01_2018-12_cnt100.csv</x:v>
      </x:c>
    </x:row>
    <x:row r="105" ht="20" customHeight="1">
      <x:c r="A105" s="27" t="str">
        <x:v>CADE</x:v>
      </x:c>
      <x:c r="B105" s="30" t="str">
        <x:v>2015-05</x:v>
      </x:c>
      <x:c r="C105" s="40" t="n">
        <x:v>100</x:v>
      </x:c>
      <x:c r="D105" s="41" t="n">
        <x:v>0.9151</x:v>
      </x:c>
      <x:c r="E105" s="41" t="n">
        <x:v>0.1014</x:v>
      </x:c>
      <x:c r="F105" s="48" t="str">
        <x:v>experiments/results/cade/100/07.22-11.27.35/cade_apigraph_127_warm_lr0.0001_adam_cosine_1_e100_wlr5e-05_we50_mwlr5e-05_mwe50_test_2013-01_2018-12_cnt100.csv</x:v>
      </x:c>
    </x:row>
    <x:row r="106" ht="20" customHeight="1">
      <x:c r="A106" s="27" t="str">
        <x:v>CADE</x:v>
      </x:c>
      <x:c r="B106" s="30" t="str">
        <x:v>2015-06</x:v>
      </x:c>
      <x:c r="C106" s="40" t="n">
        <x:v>100</x:v>
      </x:c>
      <x:c r="D106" s="41" t="n">
        <x:v>0.9175</x:v>
      </x:c>
      <x:c r="E106" s="41" t="n">
        <x:v>0.0875</x:v>
      </x:c>
      <x:c r="F106" s="48" t="str">
        <x:v>experiments/results/cade/100/07.22-11.27.35/cade_apigraph_127_warm_lr0.0001_adam_cosine_1_e100_wlr5e-05_we50_mwlr5e-05_mwe50_test_2013-01_2018-12_cnt100.csv</x:v>
      </x:c>
    </x:row>
    <x:row r="107" ht="20" customHeight="1">
      <x:c r="A107" s="27" t="str">
        <x:v>CADE</x:v>
      </x:c>
      <x:c r="B107" s="30" t="str">
        <x:v>2015-07</x:v>
      </x:c>
      <x:c r="C107" s="40" t="n">
        <x:v>100</x:v>
      </x:c>
      <x:c r="D107" s="41" t="n">
        <x:v>0.8901</x:v>
      </x:c>
      <x:c r="E107" s="41" t="n">
        <x:v>0.1426</x:v>
      </x:c>
      <x:c r="F107" s="48" t="str">
        <x:v>experiments/results/cade/100/07.22-11.27.35/cade_apigraph_127_warm_lr0.0001_adam_cosine_1_e100_wlr5e-05_we50_mwlr5e-05_mwe50_test_2013-01_2018-12_cnt100.csv</x:v>
      </x:c>
    </x:row>
    <x:row r="108" ht="20" customHeight="1">
      <x:c r="A108" s="27" t="str">
        <x:v>CADE</x:v>
      </x:c>
      <x:c r="B108" s="30" t="str">
        <x:v>2015-08</x:v>
      </x:c>
      <x:c r="C108" s="40" t="n">
        <x:v>100</x:v>
      </x:c>
      <x:c r="D108" s="41" t="n">
        <x:v>0.9299</x:v>
      </x:c>
      <x:c r="E108" s="41" t="n">
        <x:v>0.0686</x:v>
      </x:c>
      <x:c r="F108" s="48" t="str">
        <x:v>experiments/results/cade/100/07.22-11.27.35/cade_apigraph_127_warm_lr0.0001_adam_cosine_1_e100_wlr5e-05_we50_mwlr5e-05_mwe50_test_2013-01_2018-12_cnt100.csv</x:v>
      </x:c>
    </x:row>
    <x:row r="109" ht="20" customHeight="1">
      <x:c r="A109" s="27" t="str">
        <x:v>CADE</x:v>
      </x:c>
      <x:c r="B109" s="30" t="str">
        <x:v>2015-09</x:v>
      </x:c>
      <x:c r="C109" s="40" t="n">
        <x:v>100</x:v>
      </x:c>
      <x:c r="D109" s="41" t="n">
        <x:v>0.8315</x:v>
      </x:c>
      <x:c r="E109" s="41" t="n">
        <x:v>0.2324</x:v>
      </x:c>
      <x:c r="F109" s="48" t="str">
        <x:v>experiments/results/cade/100/07.22-11.27.35/cade_apigraph_127_warm_lr0.0001_adam_cosine_1_e100_wlr5e-05_we50_mwlr5e-05_mwe50_test_2013-01_2018-12_cnt100.csv</x:v>
      </x:c>
    </x:row>
    <x:row r="110" ht="20" customHeight="1">
      <x:c r="A110" s="27" t="str">
        <x:v>CADE</x:v>
      </x:c>
      <x:c r="B110" s="30" t="str">
        <x:v>2015-10</x:v>
      </x:c>
      <x:c r="C110" s="40" t="n">
        <x:v>100</x:v>
      </x:c>
      <x:c r="D110" s="41" t="n">
        <x:v>0.8032</x:v>
      </x:c>
      <x:c r="E110" s="41" t="n">
        <x:v>0.2568</x:v>
      </x:c>
      <x:c r="F110" s="48" t="str">
        <x:v>experiments/results/cade/100/07.22-11.27.35/cade_apigraph_127_warm_lr0.0001_adam_cosine_1_e100_wlr5e-05_we50_mwlr5e-05_mwe50_test_2013-01_2018-12_cnt100.csv</x:v>
      </x:c>
    </x:row>
    <x:row r="111" ht="20" customHeight="1">
      <x:c r="A111" s="27" t="str">
        <x:v>CADE</x:v>
      </x:c>
      <x:c r="B111" s="30" t="str">
        <x:v>2015-11</x:v>
      </x:c>
      <x:c r="C111" s="40" t="n">
        <x:v>100</x:v>
      </x:c>
      <x:c r="D111" s="41" t="n">
        <x:v>0.9387</x:v>
      </x:c>
      <x:c r="E111" s="41" t="n">
        <x:v>0.043</x:v>
      </x:c>
      <x:c r="F111" s="48" t="str">
        <x:v>experiments/results/cade/100/07.22-11.27.35/cade_apigraph_127_warm_lr0.0001_adam_cosine_1_e100_wlr5e-05_we50_mwlr5e-05_mwe50_test_2013-01_2018-12_cnt100.csv</x:v>
      </x:c>
    </x:row>
    <x:row r="112" ht="20" customHeight="1">
      <x:c r="A112" s="27" t="str">
        <x:v>CADE</x:v>
      </x:c>
      <x:c r="B112" s="30" t="str">
        <x:v>2015-12</x:v>
      </x:c>
      <x:c r="C112" s="40" t="n">
        <x:v>100</x:v>
      </x:c>
      <x:c r="D112" s="41" t="n">
        <x:v>0.9223</x:v>
      </x:c>
      <x:c r="E112" s="41" t="n">
        <x:v>0.0624</x:v>
      </x:c>
      <x:c r="F112" s="48" t="str">
        <x:v>experiments/results/cade/100/07.22-11.27.35/cade_apigraph_127_warm_lr0.0001_adam_cosine_1_e100_wlr5e-05_we50_mwlr5e-05_mwe50_test_2013-01_2018-12_cnt100.csv</x:v>
      </x:c>
    </x:row>
    <x:row r="113" ht="20" customHeight="1">
      <x:c r="A113" s="27" t="str">
        <x:v>CADE</x:v>
      </x:c>
      <x:c r="B113" s="30" t="str">
        <x:v>2016-01</x:v>
      </x:c>
      <x:c r="C113" s="40" t="n">
        <x:v>100</x:v>
      </x:c>
      <x:c r="D113" s="41" t="n">
        <x:v>0.9005</x:v>
      </x:c>
      <x:c r="E113" s="41" t="n">
        <x:v>0.1284</x:v>
      </x:c>
      <x:c r="F113" s="48" t="str">
        <x:v>experiments/results/cade/100/07.22-11.27.35/cade_apigraph_127_warm_lr0.0001_adam_cosine_1_e100_wlr5e-05_we50_mwlr5e-05_mwe50_test_2013-01_2018-12_cnt100.csv</x:v>
      </x:c>
    </x:row>
    <x:row r="114" ht="20" customHeight="1">
      <x:c r="A114" s="27" t="str">
        <x:v>CADE</x:v>
      </x:c>
      <x:c r="B114" s="30" t="str">
        <x:v>2016-02</x:v>
      </x:c>
      <x:c r="C114" s="40" t="n">
        <x:v>100</x:v>
      </x:c>
      <x:c r="D114" s="41" t="n">
        <x:v>0.9324</x:v>
      </x:c>
      <x:c r="E114" s="41" t="n">
        <x:v>0.0622</x:v>
      </x:c>
      <x:c r="F114" s="48" t="str">
        <x:v>experiments/results/cade/100/07.22-11.27.35/cade_apigraph_127_warm_lr0.0001_adam_cosine_1_e100_wlr5e-05_we50_mwlr5e-05_mwe50_test_2013-01_2018-12_cnt100.csv</x:v>
      </x:c>
    </x:row>
    <x:row r="115" ht="20" customHeight="1">
      <x:c r="A115" s="27" t="str">
        <x:v>CADE</x:v>
      </x:c>
      <x:c r="B115" s="30" t="str">
        <x:v>2016-03</x:v>
      </x:c>
      <x:c r="C115" s="40" t="n">
        <x:v>100</x:v>
      </x:c>
      <x:c r="D115" s="41" t="n">
        <x:v>0.9458</x:v>
      </x:c>
      <x:c r="E115" s="41" t="n">
        <x:v>0.0375</x:v>
      </x:c>
      <x:c r="F115" s="48" t="str">
        <x:v>experiments/results/cade/100/07.22-11.27.35/cade_apigraph_127_warm_lr0.0001_adam_cosine_1_e100_wlr5e-05_we50_mwlr5e-05_mwe50_test_2013-01_2018-12_cnt100.csv</x:v>
      </x:c>
    </x:row>
    <x:row r="116" ht="20" customHeight="1">
      <x:c r="A116" s="27" t="str">
        <x:v>CADE</x:v>
      </x:c>
      <x:c r="B116" s="30" t="str">
        <x:v>2016-04</x:v>
      </x:c>
      <x:c r="C116" s="40" t="n">
        <x:v>100</x:v>
      </x:c>
      <x:c r="D116" s="41" t="n">
        <x:v>0.9074</x:v>
      </x:c>
      <x:c r="E116" s="41" t="n">
        <x:v>0.0694</x:v>
      </x:c>
      <x:c r="F116" s="48" t="str">
        <x:v>experiments/results/cade/100/07.22-11.27.35/cade_apigraph_127_warm_lr0.0001_adam_cosine_1_e100_wlr5e-05_we50_mwlr5e-05_mwe50_test_2013-01_2018-12_cnt100.csv</x:v>
      </x:c>
    </x:row>
    <x:row r="117" ht="20" customHeight="1">
      <x:c r="A117" s="27" t="str">
        <x:v>CADE</x:v>
      </x:c>
      <x:c r="B117" s="30" t="str">
        <x:v>2016-05</x:v>
      </x:c>
      <x:c r="C117" s="40" t="n">
        <x:v>100</x:v>
      </x:c>
      <x:c r="D117" s="41" t="n">
        <x:v>0.9229</x:v>
      </x:c>
      <x:c r="E117" s="41" t="n">
        <x:v>0.0839</x:v>
      </x:c>
      <x:c r="F117" s="48" t="str">
        <x:v>experiments/results/cade/100/07.22-11.27.35/cade_apigraph_127_warm_lr0.0001_adam_cosine_1_e100_wlr5e-05_we50_mwlr5e-05_mwe50_test_2013-01_2018-12_cnt100.csv</x:v>
      </x:c>
    </x:row>
    <x:row r="118" ht="20" customHeight="1">
      <x:c r="A118" s="27" t="str">
        <x:v>CADE</x:v>
      </x:c>
      <x:c r="B118" s="30" t="str">
        <x:v>2016-06</x:v>
      </x:c>
      <x:c r="C118" s="40" t="n">
        <x:v>100</x:v>
      </x:c>
      <x:c r="D118" s="41" t="n">
        <x:v>0.9155</x:v>
      </x:c>
      <x:c r="E118" s="41" t="n">
        <x:v>0.0752</x:v>
      </x:c>
      <x:c r="F118" s="48" t="str">
        <x:v>experiments/results/cade/100/07.22-11.27.35/cade_apigraph_127_warm_lr0.0001_adam_cosine_1_e100_wlr5e-05_we50_mwlr5e-05_mwe50_test_2013-01_2018-12_cnt100.csv</x:v>
      </x:c>
    </x:row>
    <x:row r="119" ht="20" customHeight="1">
      <x:c r="A119" s="27" t="str">
        <x:v>CADE</x:v>
      </x:c>
      <x:c r="B119" s="30" t="str">
        <x:v>2016-07</x:v>
      </x:c>
      <x:c r="C119" s="40" t="n">
        <x:v>100</x:v>
      </x:c>
      <x:c r="D119" s="41" t="n">
        <x:v>0.9214</x:v>
      </x:c>
      <x:c r="E119" s="41" t="n">
        <x:v>0.0499</x:v>
      </x:c>
      <x:c r="F119" s="48" t="str">
        <x:v>experiments/results/cade/100/07.22-11.27.35/cade_apigraph_127_warm_lr0.0001_adam_cosine_1_e100_wlr5e-05_we50_mwlr5e-05_mwe50_test_2013-01_2018-12_cnt100.csv</x:v>
      </x:c>
    </x:row>
    <x:row r="120" ht="20" customHeight="1">
      <x:c r="A120" s="27" t="str">
        <x:v>CADE</x:v>
      </x:c>
      <x:c r="B120" s="30" t="str">
        <x:v>2016-08</x:v>
      </x:c>
      <x:c r="C120" s="40" t="n">
        <x:v>100</x:v>
      </x:c>
      <x:c r="D120" s="41" t="n">
        <x:v>0.9223</x:v>
      </x:c>
      <x:c r="E120" s="41" t="n">
        <x:v>0.0684</x:v>
      </x:c>
      <x:c r="F120" s="48" t="str">
        <x:v>experiments/results/cade/100/07.22-11.27.35/cade_apigraph_127_warm_lr0.0001_adam_cosine_1_e100_wlr5e-05_we50_mwlr5e-05_mwe50_test_2013-01_2018-12_cnt100.csv</x:v>
      </x:c>
    </x:row>
    <x:row r="121" ht="20" customHeight="1">
      <x:c r="A121" s="27" t="str">
        <x:v>CADE</x:v>
      </x:c>
      <x:c r="B121" s="30" t="str">
        <x:v>2016-09</x:v>
      </x:c>
      <x:c r="C121" s="40" t="n">
        <x:v>100</x:v>
      </x:c>
      <x:c r="D121" s="41" t="n">
        <x:v>0.9119</x:v>
      </x:c>
      <x:c r="E121" s="41" t="n">
        <x:v>0.0974</x:v>
      </x:c>
      <x:c r="F121" s="48" t="str">
        <x:v>experiments/results/cade/100/07.22-11.27.35/cade_apigraph_127_warm_lr0.0001_adam_cosine_1_e100_wlr5e-05_we50_mwlr5e-05_mwe50_test_2013-01_2018-12_cnt100.csv</x:v>
      </x:c>
    </x:row>
    <x:row r="122" ht="20" customHeight="1">
      <x:c r="A122" s="27" t="str">
        <x:v>CADE</x:v>
      </x:c>
      <x:c r="B122" s="30" t="str">
        <x:v>2016-10</x:v>
      </x:c>
      <x:c r="C122" s="40" t="n">
        <x:v>100</x:v>
      </x:c>
      <x:c r="D122" s="41" t="n">
        <x:v>0.8805</x:v>
      </x:c>
      <x:c r="E122" s="41" t="n">
        <x:v>0.0711</x:v>
      </x:c>
      <x:c r="F122" s="48" t="str">
        <x:v>experiments/results/cade/100/07.22-11.27.35/cade_apigraph_127_warm_lr0.0001_adam_cosine_1_e100_wlr5e-05_we50_mwlr5e-05_mwe50_test_2013-01_2018-12_cnt100.csv</x:v>
      </x:c>
    </x:row>
    <x:row r="123" ht="20" customHeight="1">
      <x:c r="A123" s="27" t="str">
        <x:v>CADE</x:v>
      </x:c>
      <x:c r="B123" s="30" t="str">
        <x:v>2016-11</x:v>
      </x:c>
      <x:c r="C123" s="40" t="n">
        <x:v>100</x:v>
      </x:c>
      <x:c r="D123" s="41" t="n">
        <x:v>0.9053</x:v>
      </x:c>
      <x:c r="E123" s="41" t="n">
        <x:v>0.0727</x:v>
      </x:c>
      <x:c r="F123" s="48" t="str">
        <x:v>experiments/results/cade/100/07.22-11.27.35/cade_apigraph_127_warm_lr0.0001_adam_cosine_1_e100_wlr5e-05_we50_mwlr5e-05_mwe50_test_2013-01_2018-12_cnt100.csv</x:v>
      </x:c>
    </x:row>
    <x:row r="124" ht="20" customHeight="1">
      <x:c r="A124" s="27" t="str">
        <x:v>CADE</x:v>
      </x:c>
      <x:c r="B124" s="30" t="str">
        <x:v>2016-12</x:v>
      </x:c>
      <x:c r="C124" s="40" t="n">
        <x:v>100</x:v>
      </x:c>
      <x:c r="D124" s="41" t="n">
        <x:v>0.8561</x:v>
      </x:c>
      <x:c r="E124" s="41" t="n">
        <x:v>0.2052</x:v>
      </x:c>
      <x:c r="F124" s="48" t="str">
        <x:v>experiments/results/cade/100/07.22-11.27.35/cade_apigraph_127_warm_lr0.0001_adam_cosine_1_e100_wlr5e-05_we50_mwlr5e-05_mwe50_test_2013-01_2018-12_cnt100.csv</x:v>
      </x:c>
    </x:row>
    <x:row r="125" ht="20" customHeight="1">
      <x:c r="A125" s="27" t="str">
        <x:v>CADE</x:v>
      </x:c>
      <x:c r="B125" s="30" t="str">
        <x:v>2017-01</x:v>
      </x:c>
      <x:c r="C125" s="40" t="n">
        <x:v>100</x:v>
      </x:c>
      <x:c r="D125" s="41" t="n">
        <x:v>0.891</x:v>
      </x:c>
      <x:c r="E125" s="41" t="n">
        <x:v>0.1187</x:v>
      </x:c>
      <x:c r="F125" s="48" t="str">
        <x:v>experiments/results/cade/100/07.22-11.27.35/cade_apigraph_127_warm_lr0.0001_adam_cosine_1_e100_wlr5e-05_we50_mwlr5e-05_mwe50_test_2013-01_2018-12_cnt100.csv</x:v>
      </x:c>
    </x:row>
    <x:row r="126" ht="20" customHeight="1">
      <x:c r="A126" s="27" t="str">
        <x:v>CADE</x:v>
      </x:c>
      <x:c r="B126" s="30" t="str">
        <x:v>2017-02</x:v>
      </x:c>
      <x:c r="C126" s="40" t="n">
        <x:v>100</x:v>
      </x:c>
      <x:c r="D126" s="41" t="n">
        <x:v>0.917</x:v>
      </x:c>
      <x:c r="E126" s="41" t="n">
        <x:v>0.0842</x:v>
      </x:c>
      <x:c r="F126" s="48" t="str">
        <x:v>experiments/results/cade/100/07.22-11.27.35/cade_apigraph_127_warm_lr0.0001_adam_cosine_1_e100_wlr5e-05_we50_mwlr5e-05_mwe50_test_2013-01_2018-12_cnt100.csv</x:v>
      </x:c>
    </x:row>
    <x:row r="127" ht="20" customHeight="1">
      <x:c r="A127" s="27" t="str">
        <x:v>CADE</x:v>
      </x:c>
      <x:c r="B127" s="30" t="str">
        <x:v>2017-03</x:v>
      </x:c>
      <x:c r="C127" s="40" t="n">
        <x:v>100</x:v>
      </x:c>
      <x:c r="D127" s="41" t="n">
        <x:v>0.8692</x:v>
      </x:c>
      <x:c r="E127" s="41" t="n">
        <x:v>0.1295</x:v>
      </x:c>
      <x:c r="F127" s="48" t="str">
        <x:v>experiments/results/cade/100/07.22-11.27.35/cade_apigraph_127_warm_lr0.0001_adam_cosine_1_e100_wlr5e-05_we50_mwlr5e-05_mwe50_test_2013-01_2018-12_cnt100.csv</x:v>
      </x:c>
    </x:row>
    <x:row r="128" ht="20" customHeight="1">
      <x:c r="A128" s="27" t="str">
        <x:v>CADE</x:v>
      </x:c>
      <x:c r="B128" s="30" t="str">
        <x:v>2017-04</x:v>
      </x:c>
      <x:c r="C128" s="40" t="n">
        <x:v>100</x:v>
      </x:c>
      <x:c r="D128" s="41" t="n">
        <x:v>0.8542</x:v>
      </x:c>
      <x:c r="E128" s="41" t="n">
        <x:v>0.2065</x:v>
      </x:c>
      <x:c r="F128" s="48" t="str">
        <x:v>experiments/results/cade/100/07.22-11.27.35/cade_apigraph_127_warm_lr0.0001_adam_cosine_1_e100_wlr5e-05_we50_mwlr5e-05_mwe50_test_2013-01_2018-12_cnt100.csv</x:v>
      </x:c>
    </x:row>
    <x:row r="129" ht="20" customHeight="1">
      <x:c r="A129" s="27" t="str">
        <x:v>CADE</x:v>
      </x:c>
      <x:c r="B129" s="30" t="str">
        <x:v>2017-05</x:v>
      </x:c>
      <x:c r="C129" s="40" t="n">
        <x:v>100</x:v>
      </x:c>
      <x:c r="D129" s="41" t="n">
        <x:v>0.8743</x:v>
      </x:c>
      <x:c r="E129" s="41" t="n">
        <x:v>0.1919</x:v>
      </x:c>
      <x:c r="F129" s="48" t="str">
        <x:v>experiments/results/cade/100/07.22-11.27.35/cade_apigraph_127_warm_lr0.0001_adam_cosine_1_e100_wlr5e-05_we50_mwlr5e-05_mwe50_test_2013-01_2018-12_cnt100.csv</x:v>
      </x:c>
    </x:row>
    <x:row r="130" ht="20" customHeight="1">
      <x:c r="A130" s="27" t="str">
        <x:v>CADE</x:v>
      </x:c>
      <x:c r="B130" s="30" t="str">
        <x:v>2017-06</x:v>
      </x:c>
      <x:c r="C130" s="40" t="n">
        <x:v>100</x:v>
      </x:c>
      <x:c r="D130" s="41" t="n">
        <x:v>0.8252</x:v>
      </x:c>
      <x:c r="E130" s="41" t="n">
        <x:v>0.2478</x:v>
      </x:c>
      <x:c r="F130" s="48" t="str">
        <x:v>experiments/results/cade/100/07.22-11.27.35/cade_apigraph_127_warm_lr0.0001_adam_cosine_1_e100_wlr5e-05_we50_mwlr5e-05_mwe50_test_2013-01_2018-12_cnt100.csv</x:v>
      </x:c>
    </x:row>
    <x:row r="131" ht="20" customHeight="1">
      <x:c r="A131" s="27" t="str">
        <x:v>CADE</x:v>
      </x:c>
      <x:c r="B131" s="30" t="str">
        <x:v>2017-07</x:v>
      </x:c>
      <x:c r="C131" s="40" t="n">
        <x:v>100</x:v>
      </x:c>
      <x:c r="D131" s="41" t="n">
        <x:v>0.8967</x:v>
      </x:c>
      <x:c r="E131" s="41" t="n">
        <x:v>0.1176</x:v>
      </x:c>
      <x:c r="F131" s="48" t="str">
        <x:v>experiments/results/cade/100/07.22-11.27.35/cade_apigraph_127_warm_lr0.0001_adam_cosine_1_e100_wlr5e-05_we50_mwlr5e-05_mwe50_test_2013-01_2018-12_cnt100.csv</x:v>
      </x:c>
    </x:row>
    <x:row r="132" ht="20" customHeight="1">
      <x:c r="A132" s="27" t="str">
        <x:v>CADE</x:v>
      </x:c>
      <x:c r="B132" s="30" t="str">
        <x:v>2017-08</x:v>
      </x:c>
      <x:c r="C132" s="40" t="n">
        <x:v>100</x:v>
      </x:c>
      <x:c r="D132" s="41" t="n">
        <x:v>0.9272</x:v>
      </x:c>
      <x:c r="E132" s="41" t="n">
        <x:v>0.0541</x:v>
      </x:c>
      <x:c r="F132" s="48" t="str">
        <x:v>experiments/results/cade/100/07.22-11.27.35/cade_apigraph_127_warm_lr0.0001_adam_cosine_1_e100_wlr5e-05_we50_mwlr5e-05_mwe50_test_2013-01_2018-12_cnt100.csv</x:v>
      </x:c>
    </x:row>
    <x:row r="133" ht="20" customHeight="1">
      <x:c r="A133" s="27" t="str">
        <x:v>CADE</x:v>
      </x:c>
      <x:c r="B133" s="30" t="str">
        <x:v>2017-09</x:v>
      </x:c>
      <x:c r="C133" s="40" t="n">
        <x:v>100</x:v>
      </x:c>
      <x:c r="D133" s="41" t="n">
        <x:v>0.8991</x:v>
      </x:c>
      <x:c r="E133" s="41" t="n">
        <x:v>0.0637</x:v>
      </x:c>
      <x:c r="F133" s="48" t="str">
        <x:v>experiments/results/cade/100/07.22-11.27.35/cade_apigraph_127_warm_lr0.0001_adam_cosine_1_e100_wlr5e-05_we50_mwlr5e-05_mwe50_test_2013-01_2018-12_cnt100.csv</x:v>
      </x:c>
    </x:row>
    <x:row r="134" ht="20" customHeight="1">
      <x:c r="A134" s="27" t="str">
        <x:v>CADE</x:v>
      </x:c>
      <x:c r="B134" s="30" t="str">
        <x:v>2017-10</x:v>
      </x:c>
      <x:c r="C134" s="40" t="n">
        <x:v>100</x:v>
      </x:c>
      <x:c r="D134" s="41" t="n">
        <x:v>0.9224</x:v>
      </x:c>
      <x:c r="E134" s="41" t="n">
        <x:v>0.1131</x:v>
      </x:c>
      <x:c r="F134" s="48" t="str">
        <x:v>experiments/results/cade/100/07.22-11.27.35/cade_apigraph_127_warm_lr0.0001_adam_cosine_1_e100_wlr5e-05_we50_mwlr5e-05_mwe50_test_2013-01_2018-12_cnt100.csv</x:v>
      </x:c>
    </x:row>
    <x:row r="135" ht="20" customHeight="1">
      <x:c r="A135" s="27" t="str">
        <x:v>CADE</x:v>
      </x:c>
      <x:c r="B135" s="30" t="str">
        <x:v>2017-11</x:v>
      </x:c>
      <x:c r="C135" s="40" t="n">
        <x:v>100</x:v>
      </x:c>
      <x:c r="D135" s="41" t="n">
        <x:v>0.9022</x:v>
      </x:c>
      <x:c r="E135" s="41" t="n">
        <x:v>0.0978</x:v>
      </x:c>
      <x:c r="F135" s="48" t="str">
        <x:v>experiments/results/cade/100/07.22-11.27.35/cade_apigraph_127_warm_lr0.0001_adam_cosine_1_e100_wlr5e-05_we50_mwlr5e-05_mwe50_test_2013-01_2018-12_cnt100.csv</x:v>
      </x:c>
    </x:row>
    <x:row r="136" ht="20" customHeight="1">
      <x:c r="A136" s="27" t="str">
        <x:v>CADE</x:v>
      </x:c>
      <x:c r="B136" s="30" t="str">
        <x:v>2017-12</x:v>
      </x:c>
      <x:c r="C136" s="40" t="n">
        <x:v>100</x:v>
      </x:c>
      <x:c r="D136" s="41" t="n">
        <x:v>0.8897</x:v>
      </x:c>
      <x:c r="E136" s="41" t="n">
        <x:v>0.032</x:v>
      </x:c>
      <x:c r="F136" s="48" t="str">
        <x:v>experiments/results/cade/100/07.22-11.27.35/cade_apigraph_127_warm_lr0.0001_adam_cosine_1_e100_wlr5e-05_we50_mwlr5e-05_mwe50_test_2013-01_2018-12_cnt100.csv</x:v>
      </x:c>
    </x:row>
    <x:row r="137" ht="20" customHeight="1">
      <x:c r="A137" s="27" t="str">
        <x:v>CADE</x:v>
      </x:c>
      <x:c r="B137" s="30" t="str">
        <x:v>2018-01</x:v>
      </x:c>
      <x:c r="C137" s="40" t="n">
        <x:v>100</x:v>
      </x:c>
      <x:c r="D137" s="41" t="n">
        <x:v>0.9013</x:v>
      </x:c>
      <x:c r="E137" s="41" t="n">
        <x:v>0.1046</x:v>
      </x:c>
      <x:c r="F137" s="48" t="str">
        <x:v>experiments/results/cade/100/07.22-11.27.35/cade_apigraph_127_warm_lr0.0001_adam_cosine_1_e100_wlr5e-05_we50_mwlr5e-05_mwe50_test_2013-01_2018-12_cnt100.csv</x:v>
      </x:c>
    </x:row>
    <x:row r="138" ht="20" customHeight="1">
      <x:c r="A138" s="27" t="str">
        <x:v>CADE</x:v>
      </x:c>
      <x:c r="B138" s="30" t="str">
        <x:v>2018-02</x:v>
      </x:c>
      <x:c r="C138" s="40" t="n">
        <x:v>100</x:v>
      </x:c>
      <x:c r="D138" s="41" t="n">
        <x:v>0.9117</x:v>
      </x:c>
      <x:c r="E138" s="41" t="n">
        <x:v>0.1103</x:v>
      </x:c>
      <x:c r="F138" s="48" t="str">
        <x:v>experiments/results/cade/100/07.22-11.27.35/cade_apigraph_127_warm_lr0.0001_adam_cosine_1_e100_wlr5e-05_we50_mwlr5e-05_mwe50_test_2013-01_2018-12_cnt100.csv</x:v>
      </x:c>
    </x:row>
    <x:row r="139" ht="20" customHeight="1">
      <x:c r="A139" s="27" t="str">
        <x:v>CADE</x:v>
      </x:c>
      <x:c r="B139" s="30" t="str">
        <x:v>2018-03</x:v>
      </x:c>
      <x:c r="C139" s="40" t="n">
        <x:v>100</x:v>
      </x:c>
      <x:c r="D139" s="41" t="n">
        <x:v>0.9071</x:v>
      </x:c>
      <x:c r="E139" s="41" t="n">
        <x:v>0.073</x:v>
      </x:c>
      <x:c r="F139" s="48" t="str">
        <x:v>experiments/results/cade/100/07.22-11.27.35/cade_apigraph_127_warm_lr0.0001_adam_cosine_1_e100_wlr5e-05_we50_mwlr5e-05_mwe50_test_2013-01_2018-12_cnt100.csv</x:v>
      </x:c>
    </x:row>
    <x:row r="140" ht="20" customHeight="1">
      <x:c r="A140" s="27" t="str">
        <x:v>CADE</x:v>
      </x:c>
      <x:c r="B140" s="30" t="str">
        <x:v>2018-04</x:v>
      </x:c>
      <x:c r="C140" s="40" t="n">
        <x:v>100</x:v>
      </x:c>
      <x:c r="D140" s="41" t="n">
        <x:v>0.9126</x:v>
      </x:c>
      <x:c r="E140" s="41" t="n">
        <x:v>0.0712</x:v>
      </x:c>
      <x:c r="F140" s="48" t="str">
        <x:v>experiments/results/cade/100/07.22-11.27.35/cade_apigraph_127_warm_lr0.0001_adam_cosine_1_e100_wlr5e-05_we50_mwlr5e-05_mwe50_test_2013-01_2018-12_cnt100.csv</x:v>
      </x:c>
    </x:row>
    <x:row r="141" ht="20" customHeight="1">
      <x:c r="A141" s="27" t="str">
        <x:v>CADE</x:v>
      </x:c>
      <x:c r="B141" s="30" t="str">
        <x:v>2018-05</x:v>
      </x:c>
      <x:c r="C141" s="40" t="n">
        <x:v>100</x:v>
      </x:c>
      <x:c r="D141" s="41" t="n">
        <x:v>0.7064</x:v>
      </x:c>
      <x:c r="E141" s="41" t="n">
        <x:v>0.0702</x:v>
      </x:c>
      <x:c r="F141" s="48" t="str">
        <x:v>experiments/results/cade/100/07.22-11.27.35/cade_apigraph_127_warm_lr0.0001_adam_cosine_1_e100_wlr5e-05_we50_mwlr5e-05_mwe50_test_2013-01_2018-12_cnt100.csv</x:v>
      </x:c>
    </x:row>
    <x:row r="142" ht="20" customHeight="1">
      <x:c r="A142" s="27" t="str">
        <x:v>CADE</x:v>
      </x:c>
      <x:c r="B142" s="30" t="str">
        <x:v>2018-06</x:v>
      </x:c>
      <x:c r="C142" s="40" t="n">
        <x:v>100</x:v>
      </x:c>
      <x:c r="D142" s="41" t="n">
        <x:v>0.8342</x:v>
      </x:c>
      <x:c r="E142" s="41" t="n">
        <x:v>0.1632</x:v>
      </x:c>
      <x:c r="F142" s="48" t="str">
        <x:v>experiments/results/cade/100/07.22-11.27.35/cade_apigraph_127_warm_lr0.0001_adam_cosine_1_e100_wlr5e-05_we50_mwlr5e-05_mwe50_test_2013-01_2018-12_cnt100.csv</x:v>
      </x:c>
    </x:row>
    <x:row r="143" ht="20" customHeight="1">
      <x:c r="A143" s="27" t="str">
        <x:v>CADE</x:v>
      </x:c>
      <x:c r="B143" s="30" t="str">
        <x:v>2018-07</x:v>
      </x:c>
      <x:c r="C143" s="40" t="n">
        <x:v>100</x:v>
      </x:c>
      <x:c r="D143" s="41" t="n">
        <x:v>0.8754</x:v>
      </x:c>
      <x:c r="E143" s="41" t="n">
        <x:v>0.1578</x:v>
      </x:c>
      <x:c r="F143" s="48" t="str">
        <x:v>experiments/results/cade/100/07.22-11.27.35/cade_apigraph_127_warm_lr0.0001_adam_cosine_1_e100_wlr5e-05_we50_mwlr5e-05_mwe50_test_2013-01_2018-12_cnt100.csv</x:v>
      </x:c>
    </x:row>
    <x:row r="144" ht="20" customHeight="1">
      <x:c r="A144" s="27" t="str">
        <x:v>CADE</x:v>
      </x:c>
      <x:c r="B144" s="30" t="str">
        <x:v>2018-08</x:v>
      </x:c>
      <x:c r="C144" s="40" t="n">
        <x:v>100</x:v>
      </x:c>
      <x:c r="D144" s="41" t="n">
        <x:v>0.8821</x:v>
      </x:c>
      <x:c r="E144" s="41" t="n">
        <x:v>0.1134</x:v>
      </x:c>
      <x:c r="F144" s="48" t="str">
        <x:v>experiments/results/cade/100/07.22-11.27.35/cade_apigraph_127_warm_lr0.0001_adam_cosine_1_e100_wlr5e-05_we50_mwlr5e-05_mwe50_test_2013-01_2018-12_cnt100.csv</x:v>
      </x:c>
    </x:row>
    <x:row r="145" ht="20" customHeight="1">
      <x:c r="A145" s="27" t="str">
        <x:v>CADE</x:v>
      </x:c>
      <x:c r="B145" s="30" t="str">
        <x:v>2018-09</x:v>
      </x:c>
      <x:c r="C145" s="40" t="n">
        <x:v>100</x:v>
      </x:c>
      <x:c r="D145" s="41" t="n">
        <x:v>0.8568</x:v>
      </x:c>
      <x:c r="E145" s="41" t="n">
        <x:v>0.1834</x:v>
      </x:c>
      <x:c r="F145" s="48" t="str">
        <x:v>experiments/results/cade/100/07.22-11.27.35/cade_apigraph_127_warm_lr0.0001_adam_cosine_1_e100_wlr5e-05_we50_mwlr5e-05_mwe50_test_2013-01_2018-12_cnt100.csv</x:v>
      </x:c>
    </x:row>
    <x:row r="146" ht="20" customHeight="1">
      <x:c r="A146" s="27" t="str">
        <x:v>CADE</x:v>
      </x:c>
      <x:c r="B146" s="30" t="str">
        <x:v>2018-10</x:v>
      </x:c>
      <x:c r="C146" s="40" t="n">
        <x:v>100</x:v>
      </x:c>
      <x:c r="D146" s="41" t="n">
        <x:v>0.8667</x:v>
      </x:c>
      <x:c r="E146" s="41" t="n">
        <x:v>0.1826</x:v>
      </x:c>
      <x:c r="F146" s="48" t="str">
        <x:v>experiments/results/cade/100/07.22-11.27.35/cade_apigraph_127_warm_lr0.0001_adam_cosine_1_e100_wlr5e-05_we50_mwlr5e-05_mwe50_test_2013-01_2018-12_cnt100.csv</x:v>
      </x:c>
    </x:row>
    <x:row r="147" ht="20" customHeight="1">
      <x:c r="A147" s="27" t="str">
        <x:v>CADE</x:v>
      </x:c>
      <x:c r="B147" s="30" t="str">
        <x:v>2018-11</x:v>
      </x:c>
      <x:c r="C147" s="40" t="n">
        <x:v>100</x:v>
      </x:c>
      <x:c r="D147" s="41" t="n">
        <x:v>0.9428</x:v>
      </x:c>
      <x:c r="E147" s="41" t="n">
        <x:v>0.0523</x:v>
      </x:c>
      <x:c r="F147" s="48" t="str">
        <x:v>experiments/results/cade/100/07.22-11.27.35/cade_apigraph_127_warm_lr0.0001_adam_cosine_1_e100_wlr5e-05_we50_mwlr5e-05_mwe50_test_2013-01_2018-12_cnt100.csv</x:v>
      </x:c>
    </x:row>
    <x:row r="148" ht="20" customHeight="1">
      <x:c r="A148" s="27" t="str">
        <x:v>CADE</x:v>
      </x:c>
      <x:c r="B148" s="30" t="str">
        <x:v>2018-12</x:v>
      </x:c>
      <x:c r="C148" s="40" t="n">
        <x:v>100</x:v>
      </x:c>
      <x:c r="D148" s="41" t="n">
        <x:v>0.9463</x:v>
      </x:c>
      <x:c r="E148" s="41" t="n">
        <x:v>0.0415</x:v>
      </x:c>
      <x:c r="F148" s="48" t="str">
        <x:v>experiments/results/cade/100/07.22-11.27.35/cade_apigraph_127_warm_lr0.0001_adam_cosine_1_e100_wlr5e-05_we50_mwlr5e-05_mwe50_test_2013-01_2018-12_cnt100.csv</x:v>
      </x:c>
    </x:row>
    <x:row r="149" ht="20" customHeight="1">
      <x:c r="A149" s="27" t="str">
        <x:v>CADE</x:v>
      </x:c>
      <x:c r="B149" s="30" t="str">
        <x:v>2013-01</x:v>
      </x:c>
      <x:c r="C149" s="40" t="n">
        <x:v>200</x:v>
      </x:c>
      <x:c r="D149" s="41" t="n">
        <x:v>0.9391</x:v>
      </x:c>
      <x:c r="E149" s="41" t="n">
        <x:v>0.028</x:v>
      </x:c>
      <x:c r="F149" s="48" t="str">
        <x:v>experiments/results/cade/200/07.22-16.19.11/cade_apigraph_127_warm_lr0.0001_adam_cosine_1_e100_wlr5e-05_we50_mwlr5e-05_mwe50_test_2013-01_2018-12_cnt200.csv</x:v>
      </x:c>
    </x:row>
    <x:row r="150" ht="20" customHeight="1">
      <x:c r="A150" s="27" t="str">
        <x:v>CADE</x:v>
      </x:c>
      <x:c r="B150" s="30" t="str">
        <x:v>2013-02</x:v>
      </x:c>
      <x:c r="C150" s="40" t="n">
        <x:v>200</x:v>
      </x:c>
      <x:c r="D150" s="41" t="n">
        <x:v>0.8922</x:v>
      </x:c>
      <x:c r="E150" s="41" t="n">
        <x:v>0.1469</x:v>
      </x:c>
      <x:c r="F150" s="48" t="str">
        <x:v>experiments/results/cade/200/07.22-16.19.11/cade_apigraph_127_warm_lr0.0001_adam_cosine_1_e100_wlr5e-05_we50_mwlr5e-05_mwe50_test_2013-01_2018-12_cnt200.csv</x:v>
      </x:c>
    </x:row>
    <x:row r="151" ht="20" customHeight="1">
      <x:c r="A151" s="27" t="str">
        <x:v>CADE</x:v>
      </x:c>
      <x:c r="B151" s="30" t="str">
        <x:v>2013-03</x:v>
      </x:c>
      <x:c r="C151" s="40" t="n">
        <x:v>200</x:v>
      </x:c>
      <x:c r="D151" s="41" t="n">
        <x:v>0.9007</x:v>
      </x:c>
      <x:c r="E151" s="41" t="n">
        <x:v>0.0979</x:v>
      </x:c>
      <x:c r="F151" s="48" t="str">
        <x:v>experiments/results/cade/200/07.22-16.19.11/cade_apigraph_127_warm_lr0.0001_adam_cosine_1_e100_wlr5e-05_we50_mwlr5e-05_mwe50_test_2013-01_2018-12_cnt200.csv</x:v>
      </x:c>
    </x:row>
    <x:row r="152" ht="20" customHeight="1">
      <x:c r="A152" s="27" t="str">
        <x:v>CADE</x:v>
      </x:c>
      <x:c r="B152" s="30" t="str">
        <x:v>2013-04</x:v>
      </x:c>
      <x:c r="C152" s="40" t="n">
        <x:v>200</x:v>
      </x:c>
      <x:c r="D152" s="41" t="n">
        <x:v>0.9103</x:v>
      </x:c>
      <x:c r="E152" s="41" t="n">
        <x:v>0.0874</x:v>
      </x:c>
      <x:c r="F152" s="48" t="str">
        <x:v>experiments/results/cade/200/07.22-16.19.11/cade_apigraph_127_warm_lr0.0001_adam_cosine_1_e100_wlr5e-05_we50_mwlr5e-05_mwe50_test_2013-01_2018-12_cnt200.csv</x:v>
      </x:c>
    </x:row>
    <x:row r="153" ht="20" customHeight="1">
      <x:c r="A153" s="27" t="str">
        <x:v>CADE</x:v>
      </x:c>
      <x:c r="B153" s="30" t="str">
        <x:v>2013-05</x:v>
      </x:c>
      <x:c r="C153" s="40" t="n">
        <x:v>200</x:v>
      </x:c>
      <x:c r="D153" s="41" t="n">
        <x:v>0.9066</x:v>
      </x:c>
      <x:c r="E153" s="41" t="n">
        <x:v>0.1037</x:v>
      </x:c>
      <x:c r="F153" s="48" t="str">
        <x:v>experiments/results/cade/200/07.22-16.19.11/cade_apigraph_127_warm_lr0.0001_adam_cosine_1_e100_wlr5e-05_we50_mwlr5e-05_mwe50_test_2013-01_2018-12_cnt200.csv</x:v>
      </x:c>
    </x:row>
    <x:row r="154" ht="20" customHeight="1">
      <x:c r="A154" s="27" t="str">
        <x:v>CADE</x:v>
      </x:c>
      <x:c r="B154" s="30" t="str">
        <x:v>2013-06</x:v>
      </x:c>
      <x:c r="C154" s="40" t="n">
        <x:v>200</x:v>
      </x:c>
      <x:c r="D154" s="41" t="n">
        <x:v>0.8863</x:v>
      </x:c>
      <x:c r="E154" s="41" t="n">
        <x:v>0.1006</x:v>
      </x:c>
      <x:c r="F154" s="48" t="str">
        <x:v>experiments/results/cade/200/07.22-16.19.11/cade_apigraph_127_warm_lr0.0001_adam_cosine_1_e100_wlr5e-05_we50_mwlr5e-05_mwe50_test_2013-01_2018-12_cnt200.csv</x:v>
      </x:c>
    </x:row>
    <x:row r="155" ht="20" customHeight="1">
      <x:c r="A155" s="27" t="str">
        <x:v>CADE</x:v>
      </x:c>
      <x:c r="B155" s="30" t="str">
        <x:v>2013-07</x:v>
      </x:c>
      <x:c r="C155" s="40" t="n">
        <x:v>200</x:v>
      </x:c>
      <x:c r="D155" s="41" t="n">
        <x:v>0.9094</x:v>
      </x:c>
      <x:c r="E155" s="41" t="n">
        <x:v>0.0672</x:v>
      </x:c>
      <x:c r="F155" s="48" t="str">
        <x:v>experiments/results/cade/200/07.22-16.19.11/cade_apigraph_127_warm_lr0.0001_adam_cosine_1_e100_wlr5e-05_we50_mwlr5e-05_mwe50_test_2013-01_2018-12_cnt200.csv</x:v>
      </x:c>
    </x:row>
    <x:row r="156" ht="20" customHeight="1">
      <x:c r="A156" s="27" t="str">
        <x:v>CADE</x:v>
      </x:c>
      <x:c r="B156" s="30" t="str">
        <x:v>2013-08</x:v>
      </x:c>
      <x:c r="C156" s="40" t="n">
        <x:v>200</x:v>
      </x:c>
      <x:c r="D156" s="41" t="n">
        <x:v>0.914</x:v>
      </x:c>
      <x:c r="E156" s="41" t="n">
        <x:v>0.0992</x:v>
      </x:c>
      <x:c r="F156" s="48" t="str">
        <x:v>experiments/results/cade/200/07.22-16.19.11/cade_apigraph_127_warm_lr0.0001_adam_cosine_1_e100_wlr5e-05_we50_mwlr5e-05_mwe50_test_2013-01_2018-12_cnt200.csv</x:v>
      </x:c>
    </x:row>
    <x:row r="157" ht="20" customHeight="1">
      <x:c r="A157" s="27" t="str">
        <x:v>CADE</x:v>
      </x:c>
      <x:c r="B157" s="30" t="str">
        <x:v>2013-09</x:v>
      </x:c>
      <x:c r="C157" s="40" t="n">
        <x:v>200</x:v>
      </x:c>
      <x:c r="D157" s="41" t="n">
        <x:v>0.9051</x:v>
      </x:c>
      <x:c r="E157" s="41" t="n">
        <x:v>0.084</x:v>
      </x:c>
      <x:c r="F157" s="48" t="str">
        <x:v>experiments/results/cade/200/07.22-16.19.11/cade_apigraph_127_warm_lr0.0001_adam_cosine_1_e100_wlr5e-05_we50_mwlr5e-05_mwe50_test_2013-01_2018-12_cnt200.csv</x:v>
      </x:c>
    </x:row>
    <x:row r="158" ht="20" customHeight="1">
      <x:c r="A158" s="27" t="str">
        <x:v>CADE</x:v>
      </x:c>
      <x:c r="B158" s="30" t="str">
        <x:v>2013-10</x:v>
      </x:c>
      <x:c r="C158" s="40" t="n">
        <x:v>200</x:v>
      </x:c>
      <x:c r="D158" s="41" t="n">
        <x:v>0.897</x:v>
      </x:c>
      <x:c r="E158" s="41" t="n">
        <x:v>0.1102</x:v>
      </x:c>
      <x:c r="F158" s="48" t="str">
        <x:v>experiments/results/cade/200/07.22-16.19.11/cade_apigraph_127_warm_lr0.0001_adam_cosine_1_e100_wlr5e-05_we50_mwlr5e-05_mwe50_test_2013-01_2018-12_cnt200.csv</x:v>
      </x:c>
    </x:row>
    <x:row r="159" ht="20" customHeight="1">
      <x:c r="A159" s="27" t="str">
        <x:v>CADE</x:v>
      </x:c>
      <x:c r="B159" s="30" t="str">
        <x:v>2013-11</x:v>
      </x:c>
      <x:c r="C159" s="40" t="n">
        <x:v>200</x:v>
      </x:c>
      <x:c r="D159" s="41" t="n">
        <x:v>0.8979</x:v>
      </x:c>
      <x:c r="E159" s="41" t="n">
        <x:v>0.1293</x:v>
      </x:c>
      <x:c r="F159" s="48" t="str">
        <x:v>experiments/results/cade/200/07.22-16.19.11/cade_apigraph_127_warm_lr0.0001_adam_cosine_1_e100_wlr5e-05_we50_mwlr5e-05_mwe50_test_2013-01_2018-12_cnt200.csv</x:v>
      </x:c>
    </x:row>
    <x:row r="160" ht="20" customHeight="1">
      <x:c r="A160" s="27" t="str">
        <x:v>CADE</x:v>
      </x:c>
      <x:c r="B160" s="30" t="str">
        <x:v>2013-12</x:v>
      </x:c>
      <x:c r="C160" s="40" t="n">
        <x:v>200</x:v>
      </x:c>
      <x:c r="D160" s="41" t="n">
        <x:v>0.9336</x:v>
      </x:c>
      <x:c r="E160" s="41" t="n">
        <x:v>0.0701</x:v>
      </x:c>
      <x:c r="F160" s="48" t="str">
        <x:v>experiments/results/cade/200/07.22-16.19.11/cade_apigraph_127_warm_lr0.0001_adam_cosine_1_e100_wlr5e-05_we50_mwlr5e-05_mwe50_test_2013-01_2018-12_cnt200.csv</x:v>
      </x:c>
    </x:row>
    <x:row r="161" ht="20" customHeight="1">
      <x:c r="A161" s="27" t="str">
        <x:v>CADE</x:v>
      </x:c>
      <x:c r="B161" s="30" t="str">
        <x:v>2014-01</x:v>
      </x:c>
      <x:c r="C161" s="40" t="n">
        <x:v>200</x:v>
      </x:c>
      <x:c r="D161" s="41" t="n">
        <x:v>0.8877</x:v>
      </x:c>
      <x:c r="E161" s="41" t="n">
        <x:v>0.1339</x:v>
      </x:c>
      <x:c r="F161" s="48" t="str">
        <x:v>experiments/results/cade/200/07.22-16.19.11/cade_apigraph_127_warm_lr0.0001_adam_cosine_1_e100_wlr5e-05_we50_mwlr5e-05_mwe50_test_2013-01_2018-12_cnt200.csv</x:v>
      </x:c>
    </x:row>
    <x:row r="162" ht="20" customHeight="1">
      <x:c r="A162" s="27" t="str">
        <x:v>CADE</x:v>
      </x:c>
      <x:c r="B162" s="30" t="str">
        <x:v>2014-02</x:v>
      </x:c>
      <x:c r="C162" s="40" t="n">
        <x:v>200</x:v>
      </x:c>
      <x:c r="D162" s="41" t="n">
        <x:v>0.9292</x:v>
      </x:c>
      <x:c r="E162" s="41" t="n">
        <x:v>0.0586</x:v>
      </x:c>
      <x:c r="F162" s="48" t="str">
        <x:v>experiments/results/cade/200/07.22-16.19.11/cade_apigraph_127_warm_lr0.0001_adam_cosine_1_e100_wlr5e-05_we50_mwlr5e-05_mwe50_test_2013-01_2018-12_cnt200.csv</x:v>
      </x:c>
    </x:row>
    <x:row r="163" ht="20" customHeight="1">
      <x:c r="A163" s="27" t="str">
        <x:v>CADE</x:v>
      </x:c>
      <x:c r="B163" s="30" t="str">
        <x:v>2014-03</x:v>
      </x:c>
      <x:c r="C163" s="40" t="n">
        <x:v>200</x:v>
      </x:c>
      <x:c r="D163" s="41" t="n">
        <x:v>0.8884</x:v>
      </x:c>
      <x:c r="E163" s="41" t="n">
        <x:v>0.0972</x:v>
      </x:c>
      <x:c r="F163" s="48" t="str">
        <x:v>experiments/results/cade/200/07.22-16.19.11/cade_apigraph_127_warm_lr0.0001_adam_cosine_1_e100_wlr5e-05_we50_mwlr5e-05_mwe50_test_2013-01_2018-12_cnt200.csv</x:v>
      </x:c>
    </x:row>
    <x:row r="164" ht="20" customHeight="1">
      <x:c r="A164" s="27" t="str">
        <x:v>CADE</x:v>
      </x:c>
      <x:c r="B164" s="30" t="str">
        <x:v>2014-04</x:v>
      </x:c>
      <x:c r="C164" s="40" t="n">
        <x:v>200</x:v>
      </x:c>
      <x:c r="D164" s="41" t="n">
        <x:v>0.8726</x:v>
      </x:c>
      <x:c r="E164" s="41" t="n">
        <x:v>0.1205</x:v>
      </x:c>
      <x:c r="F164" s="48" t="str">
        <x:v>experiments/results/cade/200/07.22-16.19.11/cade_apigraph_127_warm_lr0.0001_adam_cosine_1_e100_wlr5e-05_we50_mwlr5e-05_mwe50_test_2013-01_2018-12_cnt200.csv</x:v>
      </x:c>
    </x:row>
    <x:row r="165" ht="20" customHeight="1">
      <x:c r="A165" s="27" t="str">
        <x:v>CADE</x:v>
      </x:c>
      <x:c r="B165" s="30" t="str">
        <x:v>2014-05</x:v>
      </x:c>
      <x:c r="C165" s="40" t="n">
        <x:v>200</x:v>
      </x:c>
      <x:c r="D165" s="41" t="n">
        <x:v>0.8946</x:v>
      </x:c>
      <x:c r="E165" s="41" t="n">
        <x:v>0.0946</x:v>
      </x:c>
      <x:c r="F165" s="48" t="str">
        <x:v>experiments/results/cade/200/07.22-16.19.11/cade_apigraph_127_warm_lr0.0001_adam_cosine_1_e100_wlr5e-05_we50_mwlr5e-05_mwe50_test_2013-01_2018-12_cnt200.csv</x:v>
      </x:c>
    </x:row>
    <x:row r="166" ht="20" customHeight="1">
      <x:c r="A166" s="27" t="str">
        <x:v>CADE</x:v>
      </x:c>
      <x:c r="B166" s="30" t="str">
        <x:v>2014-06</x:v>
      </x:c>
      <x:c r="C166" s="40" t="n">
        <x:v>200</x:v>
      </x:c>
      <x:c r="D166" s="41" t="n">
        <x:v>0.7956</x:v>
      </x:c>
      <x:c r="E166" s="41" t="n">
        <x:v>0.2731</x:v>
      </x:c>
      <x:c r="F166" s="48" t="str">
        <x:v>experiments/results/cade/200/07.22-16.19.11/cade_apigraph_127_warm_lr0.0001_adam_cosine_1_e100_wlr5e-05_we50_mwlr5e-05_mwe50_test_2013-01_2018-12_cnt200.csv</x:v>
      </x:c>
    </x:row>
    <x:row r="167" ht="20" customHeight="1">
      <x:c r="A167" s="27" t="str">
        <x:v>CADE</x:v>
      </x:c>
      <x:c r="B167" s="30" t="str">
        <x:v>2014-07</x:v>
      </x:c>
      <x:c r="C167" s="40" t="n">
        <x:v>200</x:v>
      </x:c>
      <x:c r="D167" s="41" t="n">
        <x:v>0.8067</x:v>
      </x:c>
      <x:c r="E167" s="41" t="n">
        <x:v>0.2725</x:v>
      </x:c>
      <x:c r="F167" s="48" t="str">
        <x:v>experiments/results/cade/200/07.22-16.19.11/cade_apigraph_127_warm_lr0.0001_adam_cosine_1_e100_wlr5e-05_we50_mwlr5e-05_mwe50_test_2013-01_2018-12_cnt200.csv</x:v>
      </x:c>
    </x:row>
    <x:row r="168" ht="20" customHeight="1">
      <x:c r="A168" s="27" t="str">
        <x:v>CADE</x:v>
      </x:c>
      <x:c r="B168" s="30" t="str">
        <x:v>2014-08</x:v>
      </x:c>
      <x:c r="C168" s="40" t="n">
        <x:v>200</x:v>
      </x:c>
      <x:c r="D168" s="41" t="n">
        <x:v>0.8459</x:v>
      </x:c>
      <x:c r="E168" s="41" t="n">
        <x:v>0.2198</x:v>
      </x:c>
      <x:c r="F168" s="48" t="str">
        <x:v>experiments/results/cade/200/07.22-16.19.11/cade_apigraph_127_warm_lr0.0001_adam_cosine_1_e100_wlr5e-05_we50_mwlr5e-05_mwe50_test_2013-01_2018-12_cnt200.csv</x:v>
      </x:c>
    </x:row>
    <x:row r="169" ht="20" customHeight="1">
      <x:c r="A169" s="27" t="str">
        <x:v>CADE</x:v>
      </x:c>
      <x:c r="B169" s="30" t="str">
        <x:v>2014-09</x:v>
      </x:c>
      <x:c r="C169" s="40" t="n">
        <x:v>200</x:v>
      </x:c>
      <x:c r="D169" s="41" t="n">
        <x:v>0.8546</x:v>
      </x:c>
      <x:c r="E169" s="41" t="n">
        <x:v>0.2133</x:v>
      </x:c>
      <x:c r="F169" s="48" t="str">
        <x:v>experiments/results/cade/200/07.22-16.19.11/cade_apigraph_127_warm_lr0.0001_adam_cosine_1_e100_wlr5e-05_we50_mwlr5e-05_mwe50_test_2013-01_2018-12_cnt200.csv</x:v>
      </x:c>
    </x:row>
    <x:row r="170" ht="20" customHeight="1">
      <x:c r="A170" s="27" t="str">
        <x:v>CADE</x:v>
      </x:c>
      <x:c r="B170" s="30" t="str">
        <x:v>2014-10</x:v>
      </x:c>
      <x:c r="C170" s="40" t="n">
        <x:v>200</x:v>
      </x:c>
      <x:c r="D170" s="41" t="n">
        <x:v>0.8254</x:v>
      </x:c>
      <x:c r="E170" s="41" t="n">
        <x:v>0.2413</x:v>
      </x:c>
      <x:c r="F170" s="48" t="str">
        <x:v>experiments/results/cade/200/07.22-16.19.11/cade_apigraph_127_warm_lr0.0001_adam_cosine_1_e100_wlr5e-05_we50_mwlr5e-05_mwe50_test_2013-01_2018-12_cnt200.csv</x:v>
      </x:c>
    </x:row>
    <x:row r="171" ht="20" customHeight="1">
      <x:c r="A171" s="27" t="str">
        <x:v>CADE</x:v>
      </x:c>
      <x:c r="B171" s="30" t="str">
        <x:v>2014-11</x:v>
      </x:c>
      <x:c r="C171" s="40" t="n">
        <x:v>200</x:v>
      </x:c>
      <x:c r="D171" s="41" t="n">
        <x:v>0.8989</x:v>
      </x:c>
      <x:c r="E171" s="41" t="n">
        <x:v>0.1339</x:v>
      </x:c>
      <x:c r="F171" s="48" t="str">
        <x:v>experiments/results/cade/200/07.22-16.19.11/cade_apigraph_127_warm_lr0.0001_adam_cosine_1_e100_wlr5e-05_we50_mwlr5e-05_mwe50_test_2013-01_2018-12_cnt200.csv</x:v>
      </x:c>
    </x:row>
    <x:row r="172" ht="20" customHeight="1">
      <x:c r="A172" s="27" t="str">
        <x:v>CADE</x:v>
      </x:c>
      <x:c r="B172" s="30" t="str">
        <x:v>2014-12</x:v>
      </x:c>
      <x:c r="C172" s="40" t="n">
        <x:v>200</x:v>
      </x:c>
      <x:c r="D172" s="41" t="n">
        <x:v>0.8615</x:v>
      </x:c>
      <x:c r="E172" s="41" t="n">
        <x:v>0.1988</x:v>
      </x:c>
      <x:c r="F172" s="48" t="str">
        <x:v>experiments/results/cade/200/07.22-16.19.11/cade_apigraph_127_warm_lr0.0001_adam_cosine_1_e100_wlr5e-05_we50_mwlr5e-05_mwe50_test_2013-01_2018-12_cnt200.csv</x:v>
      </x:c>
    </x:row>
    <x:row r="173" ht="20" customHeight="1">
      <x:c r="A173" s="27" t="str">
        <x:v>CADE</x:v>
      </x:c>
      <x:c r="B173" s="30" t="str">
        <x:v>2015-01</x:v>
      </x:c>
      <x:c r="C173" s="40" t="n">
        <x:v>200</x:v>
      </x:c>
      <x:c r="D173" s="41" t="n">
        <x:v>0.8718</x:v>
      </x:c>
      <x:c r="E173" s="41" t="n">
        <x:v>0.182</x:v>
      </x:c>
      <x:c r="F173" s="48" t="str">
        <x:v>experiments/results/cade/200/07.22-16.19.11/cade_apigraph_127_warm_lr0.0001_adam_cosine_1_e100_wlr5e-05_we50_mwlr5e-05_mwe50_test_2013-01_2018-12_cnt200.csv</x:v>
      </x:c>
    </x:row>
    <x:row r="174" ht="20" customHeight="1">
      <x:c r="A174" s="27" t="str">
        <x:v>CADE</x:v>
      </x:c>
      <x:c r="B174" s="30" t="str">
        <x:v>2015-02</x:v>
      </x:c>
      <x:c r="C174" s="40" t="n">
        <x:v>200</x:v>
      </x:c>
      <x:c r="D174" s="41" t="n">
        <x:v>0.9224</x:v>
      </x:c>
      <x:c r="E174" s="41" t="n">
        <x:v>0.0996</x:v>
      </x:c>
      <x:c r="F174" s="48" t="str">
        <x:v>experiments/results/cade/200/07.22-16.19.11/cade_apigraph_127_warm_lr0.0001_adam_cosine_1_e100_wlr5e-05_we50_mwlr5e-05_mwe50_test_2013-01_2018-12_cnt200.csv</x:v>
      </x:c>
    </x:row>
    <x:row r="175" ht="20" customHeight="1">
      <x:c r="A175" s="27" t="str">
        <x:v>CADE</x:v>
      </x:c>
      <x:c r="B175" s="30" t="str">
        <x:v>2015-03</x:v>
      </x:c>
      <x:c r="C175" s="40" t="n">
        <x:v>200</x:v>
      </x:c>
      <x:c r="D175" s="41" t="n">
        <x:v>0.9125</x:v>
      </x:c>
      <x:c r="E175" s="41" t="n">
        <x:v>0.1253</x:v>
      </x:c>
      <x:c r="F175" s="48" t="str">
        <x:v>experiments/results/cade/200/07.22-16.19.11/cade_apigraph_127_warm_lr0.0001_adam_cosine_1_e100_wlr5e-05_we50_mwlr5e-05_mwe50_test_2013-01_2018-12_cnt200.csv</x:v>
      </x:c>
    </x:row>
    <x:row r="176" ht="20" customHeight="1">
      <x:c r="A176" s="27" t="str">
        <x:v>CADE</x:v>
      </x:c>
      <x:c r="B176" s="30" t="str">
        <x:v>2015-04</x:v>
      </x:c>
      <x:c r="C176" s="40" t="n">
        <x:v>200</x:v>
      </x:c>
      <x:c r="D176" s="41" t="n">
        <x:v>0.9325</x:v>
      </x:c>
      <x:c r="E176" s="41" t="n">
        <x:v>0.0835</x:v>
      </x:c>
      <x:c r="F176" s="48" t="str">
        <x:v>experiments/results/cade/200/07.22-16.19.11/cade_apigraph_127_warm_lr0.0001_adam_cosine_1_e100_wlr5e-05_we50_mwlr5e-05_mwe50_test_2013-01_2018-12_cnt200.csv</x:v>
      </x:c>
    </x:row>
    <x:row r="177" ht="20" customHeight="1">
      <x:c r="A177" s="27" t="str">
        <x:v>CADE</x:v>
      </x:c>
      <x:c r="B177" s="30" t="str">
        <x:v>2015-05</x:v>
      </x:c>
      <x:c r="C177" s="40" t="n">
        <x:v>200</x:v>
      </x:c>
      <x:c r="D177" s="41" t="n">
        <x:v>0.9243</x:v>
      </x:c>
      <x:c r="E177" s="41" t="n">
        <x:v>0.1059</x:v>
      </x:c>
      <x:c r="F177" s="48" t="str">
        <x:v>experiments/results/cade/200/07.22-16.19.11/cade_apigraph_127_warm_lr0.0001_adam_cosine_1_e100_wlr5e-05_we50_mwlr5e-05_mwe50_test_2013-01_2018-12_cnt200.csv</x:v>
      </x:c>
    </x:row>
    <x:row r="178" ht="20" customHeight="1">
      <x:c r="A178" s="27" t="str">
        <x:v>CADE</x:v>
      </x:c>
      <x:c r="B178" s="30" t="str">
        <x:v>2015-06</x:v>
      </x:c>
      <x:c r="C178" s="40" t="n">
        <x:v>200</x:v>
      </x:c>
      <x:c r="D178" s="41" t="n">
        <x:v>0.9267</x:v>
      </x:c>
      <x:c r="E178" s="41" t="n">
        <x:v>0.0875</x:v>
      </x:c>
      <x:c r="F178" s="48" t="str">
        <x:v>experiments/results/cade/200/07.22-16.19.11/cade_apigraph_127_warm_lr0.0001_adam_cosine_1_e100_wlr5e-05_we50_mwlr5e-05_mwe50_test_2013-01_2018-12_cnt200.csv</x:v>
      </x:c>
    </x:row>
    <x:row r="179" ht="20" customHeight="1">
      <x:c r="A179" s="27" t="str">
        <x:v>CADE</x:v>
      </x:c>
      <x:c r="B179" s="30" t="str">
        <x:v>2015-07</x:v>
      </x:c>
      <x:c r="C179" s="40" t="n">
        <x:v>200</x:v>
      </x:c>
      <x:c r="D179" s="41" t="n">
        <x:v>0.8923</x:v>
      </x:c>
      <x:c r="E179" s="41" t="n">
        <x:v>0.1572</x:v>
      </x:c>
      <x:c r="F179" s="48" t="str">
        <x:v>experiments/results/cade/200/07.22-16.19.11/cade_apigraph_127_warm_lr0.0001_adam_cosine_1_e100_wlr5e-05_we50_mwlr5e-05_mwe50_test_2013-01_2018-12_cnt200.csv</x:v>
      </x:c>
    </x:row>
    <x:row r="180" ht="20" customHeight="1">
      <x:c r="A180" s="27" t="str">
        <x:v>CADE</x:v>
      </x:c>
      <x:c r="B180" s="30" t="str">
        <x:v>2015-08</x:v>
      </x:c>
      <x:c r="C180" s="40" t="n">
        <x:v>200</x:v>
      </x:c>
      <x:c r="D180" s="41" t="n">
        <x:v>0.9437</x:v>
      </x:c>
      <x:c r="E180" s="41" t="n">
        <x:v>0.0686</x:v>
      </x:c>
      <x:c r="F180" s="48" t="str">
        <x:v>experiments/results/cade/200/07.22-16.19.11/cade_apigraph_127_warm_lr0.0001_adam_cosine_1_e100_wlr5e-05_we50_mwlr5e-05_mwe50_test_2013-01_2018-12_cnt200.csv</x:v>
      </x:c>
    </x:row>
    <x:row r="181" ht="20" customHeight="1">
      <x:c r="A181" s="27" t="str">
        <x:v>CADE</x:v>
      </x:c>
      <x:c r="B181" s="30" t="str">
        <x:v>2015-09</x:v>
      </x:c>
      <x:c r="C181" s="40" t="n">
        <x:v>200</x:v>
      </x:c>
      <x:c r="D181" s="41" t="n">
        <x:v>0.8324</x:v>
      </x:c>
      <x:c r="E181" s="41" t="n">
        <x:v>0.2324</x:v>
      </x:c>
      <x:c r="F181" s="48" t="str">
        <x:v>experiments/results/cade/200/07.22-16.19.11/cade_apigraph_127_warm_lr0.0001_adam_cosine_1_e100_wlr5e-05_we50_mwlr5e-05_mwe50_test_2013-01_2018-12_cnt200.csv</x:v>
      </x:c>
    </x:row>
    <x:row r="182" ht="20" customHeight="1">
      <x:c r="A182" s="27" t="str">
        <x:v>CADE</x:v>
      </x:c>
      <x:c r="B182" s="30" t="str">
        <x:v>2015-10</x:v>
      </x:c>
      <x:c r="C182" s="40" t="n">
        <x:v>200</x:v>
      </x:c>
      <x:c r="D182" s="41" t="n">
        <x:v>0.822</x:v>
      </x:c>
      <x:c r="E182" s="41" t="n">
        <x:v>0.2611</x:v>
      </x:c>
      <x:c r="F182" s="48" t="str">
        <x:v>experiments/results/cade/200/07.22-16.19.11/cade_apigraph_127_warm_lr0.0001_adam_cosine_1_e100_wlr5e-05_we50_mwlr5e-05_mwe50_test_2013-01_2018-12_cnt200.csv</x:v>
      </x:c>
    </x:row>
    <x:row r="183" ht="20" customHeight="1">
      <x:c r="A183" s="27" t="str">
        <x:v>CADE</x:v>
      </x:c>
      <x:c r="B183" s="30" t="str">
        <x:v>2015-11</x:v>
      </x:c>
      <x:c r="C183" s="40" t="n">
        <x:v>200</x:v>
      </x:c>
      <x:c r="D183" s="41" t="n">
        <x:v>0.8722</x:v>
      </x:c>
      <x:c r="E183" s="41" t="n">
        <x:v>0.1885</x:v>
      </x:c>
      <x:c r="F183" s="48" t="str">
        <x:v>experiments/results/cade/200/07.22-16.19.11/cade_apigraph_127_warm_lr0.0001_adam_cosine_1_e100_wlr5e-05_we50_mwlr5e-05_mwe50_test_2013-01_2018-12_cnt200.csv</x:v>
      </x:c>
    </x:row>
    <x:row r="184" ht="20" customHeight="1">
      <x:c r="A184" s="27" t="str">
        <x:v>CADE</x:v>
      </x:c>
      <x:c r="B184" s="30" t="str">
        <x:v>2015-12</x:v>
      </x:c>
      <x:c r="C184" s="40" t="n">
        <x:v>200</x:v>
      </x:c>
      <x:c r="D184" s="41" t="n">
        <x:v>0.9029</x:v>
      </x:c>
      <x:c r="E184" s="41" t="n">
        <x:v>0.1206</x:v>
      </x:c>
      <x:c r="F184" s="48" t="str">
        <x:v>experiments/results/cade/200/07.22-16.19.11/cade_apigraph_127_warm_lr0.0001_adam_cosine_1_e100_wlr5e-05_we50_mwlr5e-05_mwe50_test_2013-01_2018-12_cnt200.csv</x:v>
      </x:c>
    </x:row>
    <x:row r="185" ht="20" customHeight="1">
      <x:c r="A185" s="27" t="str">
        <x:v>CADE</x:v>
      </x:c>
      <x:c r="B185" s="30" t="str">
        <x:v>2016-01</x:v>
      </x:c>
      <x:c r="C185" s="40" t="n">
        <x:v>200</x:v>
      </x:c>
      <x:c r="D185" s="41" t="n">
        <x:v>0.9225</x:v>
      </x:c>
      <x:c r="E185" s="41" t="n">
        <x:v>0.1124</x:v>
      </x:c>
      <x:c r="F185" s="48" t="str">
        <x:v>experiments/results/cade/200/07.22-16.19.11/cade_apigraph_127_warm_lr0.0001_adam_cosine_1_e100_wlr5e-05_we50_mwlr5e-05_mwe50_test_2013-01_2018-12_cnt200.csv</x:v>
      </x:c>
    </x:row>
    <x:row r="186" ht="20" customHeight="1">
      <x:c r="A186" s="27" t="str">
        <x:v>CADE</x:v>
      </x:c>
      <x:c r="B186" s="30" t="str">
        <x:v>2016-02</x:v>
      </x:c>
      <x:c r="C186" s="40" t="n">
        <x:v>200</x:v>
      </x:c>
      <x:c r="D186" s="41" t="n">
        <x:v>0.9387</x:v>
      </x:c>
      <x:c r="E186" s="41" t="n">
        <x:v>0.0645</x:v>
      </x:c>
      <x:c r="F186" s="48" t="str">
        <x:v>experiments/results/cade/200/07.22-16.19.11/cade_apigraph_127_warm_lr0.0001_adam_cosine_1_e100_wlr5e-05_we50_mwlr5e-05_mwe50_test_2013-01_2018-12_cnt200.csv</x:v>
      </x:c>
    </x:row>
    <x:row r="187" ht="20" customHeight="1">
      <x:c r="A187" s="27" t="str">
        <x:v>CADE</x:v>
      </x:c>
      <x:c r="B187" s="30" t="str">
        <x:v>2016-03</x:v>
      </x:c>
      <x:c r="C187" s="40" t="n">
        <x:v>200</x:v>
      </x:c>
      <x:c r="D187" s="41" t="n">
        <x:v>0.9431</x:v>
      </x:c>
      <x:c r="E187" s="41" t="n">
        <x:v>0.0486</x:v>
      </x:c>
      <x:c r="F187" s="48" t="str">
        <x:v>experiments/results/cade/200/07.22-16.19.11/cade_apigraph_127_warm_lr0.0001_adam_cosine_1_e100_wlr5e-05_we50_mwlr5e-05_mwe50_test_2013-01_2018-12_cnt200.csv</x:v>
      </x:c>
    </x:row>
    <x:row r="188" ht="20" customHeight="1">
      <x:c r="A188" s="27" t="str">
        <x:v>CADE</x:v>
      </x:c>
      <x:c r="B188" s="30" t="str">
        <x:v>2016-04</x:v>
      </x:c>
      <x:c r="C188" s="40" t="n">
        <x:v>200</x:v>
      </x:c>
      <x:c r="D188" s="41" t="n">
        <x:v>0.9134</x:v>
      </x:c>
      <x:c r="E188" s="41" t="n">
        <x:v>0.0602</x:v>
      </x:c>
      <x:c r="F188" s="48" t="str">
        <x:v>experiments/results/cade/200/07.22-16.19.11/cade_apigraph_127_warm_lr0.0001_adam_cosine_1_e100_wlr5e-05_we50_mwlr5e-05_mwe50_test_2013-01_2018-12_cnt200.csv</x:v>
      </x:c>
    </x:row>
    <x:row r="189" ht="20" customHeight="1">
      <x:c r="A189" s="27" t="str">
        <x:v>CADE</x:v>
      </x:c>
      <x:c r="B189" s="30" t="str">
        <x:v>2016-05</x:v>
      </x:c>
      <x:c r="C189" s="40" t="n">
        <x:v>200</x:v>
      </x:c>
      <x:c r="D189" s="41" t="n">
        <x:v>0.9377</x:v>
      </x:c>
      <x:c r="E189" s="41" t="n">
        <x:v>0.0692</x:v>
      </x:c>
      <x:c r="F189" s="48" t="str">
        <x:v>experiments/results/cade/200/07.22-16.19.11/cade_apigraph_127_warm_lr0.0001_adam_cosine_1_e100_wlr5e-05_we50_mwlr5e-05_mwe50_test_2013-01_2018-12_cnt200.csv</x:v>
      </x:c>
    </x:row>
    <x:row r="190" ht="20" customHeight="1">
      <x:c r="A190" s="27" t="str">
        <x:v>CADE</x:v>
      </x:c>
      <x:c r="B190" s="30" t="str">
        <x:v>2016-06</x:v>
      </x:c>
      <x:c r="C190" s="40" t="n">
        <x:v>200</x:v>
      </x:c>
      <x:c r="D190" s="41" t="n">
        <x:v>0.9369</x:v>
      </x:c>
      <x:c r="E190" s="41" t="n">
        <x:v>0.065</x:v>
      </x:c>
      <x:c r="F190" s="48" t="str">
        <x:v>experiments/results/cade/200/07.22-16.19.11/cade_apigraph_127_warm_lr0.0001_adam_cosine_1_e100_wlr5e-05_we50_mwlr5e-05_mwe50_test_2013-01_2018-12_cnt200.csv</x:v>
      </x:c>
    </x:row>
    <x:row r="191" ht="20" customHeight="1">
      <x:c r="A191" s="27" t="str">
        <x:v>CADE</x:v>
      </x:c>
      <x:c r="B191" s="30" t="str">
        <x:v>2016-07</x:v>
      </x:c>
      <x:c r="C191" s="40" t="n">
        <x:v>200</x:v>
      </x:c>
      <x:c r="D191" s="41" t="n">
        <x:v>0.9379</x:v>
      </x:c>
      <x:c r="E191" s="41" t="n">
        <x:v>0.0416</x:v>
      </x:c>
      <x:c r="F191" s="48" t="str">
        <x:v>experiments/results/cade/200/07.22-16.19.11/cade_apigraph_127_warm_lr0.0001_adam_cosine_1_e100_wlr5e-05_we50_mwlr5e-05_mwe50_test_2013-01_2018-12_cnt200.csv</x:v>
      </x:c>
    </x:row>
    <x:row r="192" ht="20" customHeight="1">
      <x:c r="A192" s="27" t="str">
        <x:v>CADE</x:v>
      </x:c>
      <x:c r="B192" s="30" t="str">
        <x:v>2016-08</x:v>
      </x:c>
      <x:c r="C192" s="40" t="n">
        <x:v>200</x:v>
      </x:c>
      <x:c r="D192" s="41" t="n">
        <x:v>0.9147</x:v>
      </x:c>
      <x:c r="E192" s="41" t="n">
        <x:v>0.0724</x:v>
      </x:c>
      <x:c r="F192" s="48" t="str">
        <x:v>experiments/results/cade/200/07.22-16.19.11/cade_apigraph_127_warm_lr0.0001_adam_cosine_1_e100_wlr5e-05_we50_mwlr5e-05_mwe50_test_2013-01_2018-12_cnt200.csv</x:v>
      </x:c>
    </x:row>
    <x:row r="193" ht="20" customHeight="1">
      <x:c r="A193" s="27" t="str">
        <x:v>CADE</x:v>
      </x:c>
      <x:c r="B193" s="30" t="str">
        <x:v>2016-09</x:v>
      </x:c>
      <x:c r="C193" s="40" t="n">
        <x:v>200</x:v>
      </x:c>
      <x:c r="D193" s="41" t="n">
        <x:v>0.9212</x:v>
      </x:c>
      <x:c r="E193" s="41" t="n">
        <x:v>0.0994</x:v>
      </x:c>
      <x:c r="F193" s="48" t="str">
        <x:v>experiments/results/cade/200/07.22-16.19.11/cade_apigraph_127_warm_lr0.0001_adam_cosine_1_e100_wlr5e-05_we50_mwlr5e-05_mwe50_test_2013-01_2018-12_cnt200.csv</x:v>
      </x:c>
    </x:row>
    <x:row r="194" ht="20" customHeight="1">
      <x:c r="A194" s="27" t="str">
        <x:v>CADE</x:v>
      </x:c>
      <x:c r="B194" s="30" t="str">
        <x:v>2016-10</x:v>
      </x:c>
      <x:c r="C194" s="40" t="n">
        <x:v>200</x:v>
      </x:c>
      <x:c r="D194" s="41" t="n">
        <x:v>0.9322</x:v>
      </x:c>
      <x:c r="E194" s="41" t="n">
        <x:v>0.0366</x:v>
      </x:c>
      <x:c r="F194" s="48" t="str">
        <x:v>experiments/results/cade/200/07.22-16.19.11/cade_apigraph_127_warm_lr0.0001_adam_cosine_1_e100_wlr5e-05_we50_mwlr5e-05_mwe50_test_2013-01_2018-12_cnt200.csv</x:v>
      </x:c>
    </x:row>
    <x:row r="195" ht="20" customHeight="1">
      <x:c r="A195" s="27" t="str">
        <x:v>CADE</x:v>
      </x:c>
      <x:c r="B195" s="30" t="str">
        <x:v>2016-11</x:v>
      </x:c>
      <x:c r="C195" s="40" t="n">
        <x:v>200</x:v>
      </x:c>
      <x:c r="D195" s="41" t="n">
        <x:v>0.944</x:v>
      </x:c>
      <x:c r="E195" s="41" t="n">
        <x:v>0.0545</x:v>
      </x:c>
      <x:c r="F195" s="48" t="str">
        <x:v>experiments/results/cade/200/07.22-16.19.11/cade_apigraph_127_warm_lr0.0001_adam_cosine_1_e100_wlr5e-05_we50_mwlr5e-05_mwe50_test_2013-01_2018-12_cnt200.csv</x:v>
      </x:c>
    </x:row>
    <x:row r="196" ht="20" customHeight="1">
      <x:c r="A196" s="27" t="str">
        <x:v>CADE</x:v>
      </x:c>
      <x:c r="B196" s="30" t="str">
        <x:v>2016-12</x:v>
      </x:c>
      <x:c r="C196" s="40" t="n">
        <x:v>200</x:v>
      </x:c>
      <x:c r="D196" s="41" t="n">
        <x:v>0.9211</x:v>
      </x:c>
      <x:c r="E196" s="41" t="n">
        <x:v>0.0879</x:v>
      </x:c>
      <x:c r="F196" s="48" t="str">
        <x:v>experiments/results/cade/200/07.22-16.19.11/cade_apigraph_127_warm_lr0.0001_adam_cosine_1_e100_wlr5e-05_we50_mwlr5e-05_mwe50_test_2013-01_2018-12_cnt200.csv</x:v>
      </x:c>
    </x:row>
    <x:row r="197" ht="20" customHeight="1">
      <x:c r="A197" s="27" t="str">
        <x:v>CADE</x:v>
      </x:c>
      <x:c r="B197" s="30" t="str">
        <x:v>2017-01</x:v>
      </x:c>
      <x:c r="C197" s="40" t="n">
        <x:v>200</x:v>
      </x:c>
      <x:c r="D197" s="41" t="n">
        <x:v>0.9088</x:v>
      </x:c>
      <x:c r="E197" s="41" t="n">
        <x:v>0.0813</x:v>
      </x:c>
      <x:c r="F197" s="48" t="str">
        <x:v>experiments/results/cade/200/07.22-16.19.11/cade_apigraph_127_warm_lr0.0001_adam_cosine_1_e100_wlr5e-05_we50_mwlr5e-05_mwe50_test_2013-01_2018-12_cnt200.csv</x:v>
      </x:c>
    </x:row>
    <x:row r="198" ht="20" customHeight="1">
      <x:c r="A198" s="27" t="str">
        <x:v>CADE</x:v>
      </x:c>
      <x:c r="B198" s="30" t="str">
        <x:v>2017-02</x:v>
      </x:c>
      <x:c r="C198" s="40" t="n">
        <x:v>200</x:v>
      </x:c>
      <x:c r="D198" s="41" t="n">
        <x:v>0.9418</x:v>
      </x:c>
      <x:c r="E198" s="41" t="n">
        <x:v>0.0543</x:v>
      </x:c>
      <x:c r="F198" s="48" t="str">
        <x:v>experiments/results/cade/200/07.22-16.19.11/cade_apigraph_127_warm_lr0.0001_adam_cosine_1_e100_wlr5e-05_we50_mwlr5e-05_mwe50_test_2013-01_2018-12_cnt200.csv</x:v>
      </x:c>
    </x:row>
    <x:row r="199" ht="20" customHeight="1">
      <x:c r="A199" s="27" t="str">
        <x:v>CADE</x:v>
      </x:c>
      <x:c r="B199" s="30" t="str">
        <x:v>2017-03</x:v>
      </x:c>
      <x:c r="C199" s="40" t="n">
        <x:v>200</x:v>
      </x:c>
      <x:c r="D199" s="41" t="n">
        <x:v>0.8895</x:v>
      </x:c>
      <x:c r="E199" s="41" t="n">
        <x:v>0.0904</x:v>
      </x:c>
      <x:c r="F199" s="48" t="str">
        <x:v>experiments/results/cade/200/07.22-16.19.11/cade_apigraph_127_warm_lr0.0001_adam_cosine_1_e100_wlr5e-05_we50_mwlr5e-05_mwe50_test_2013-01_2018-12_cnt200.csv</x:v>
      </x:c>
    </x:row>
    <x:row r="200" ht="20" customHeight="1">
      <x:c r="A200" s="27" t="str">
        <x:v>CADE</x:v>
      </x:c>
      <x:c r="B200" s="30" t="str">
        <x:v>2017-04</x:v>
      </x:c>
      <x:c r="C200" s="40" t="n">
        <x:v>200</x:v>
      </x:c>
      <x:c r="D200" s="41" t="n">
        <x:v>0.8852</x:v>
      </x:c>
      <x:c r="E200" s="41" t="n">
        <x:v>0.129</x:v>
      </x:c>
      <x:c r="F200" s="48" t="str">
        <x:v>experiments/results/cade/200/07.22-16.19.11/cade_apigraph_127_warm_lr0.0001_adam_cosine_1_e100_wlr5e-05_we50_mwlr5e-05_mwe50_test_2013-01_2018-12_cnt200.csv</x:v>
      </x:c>
    </x:row>
    <x:row r="201" ht="20" customHeight="1">
      <x:c r="A201" s="27" t="str">
        <x:v>CADE</x:v>
      </x:c>
      <x:c r="B201" s="30" t="str">
        <x:v>2017-05</x:v>
      </x:c>
      <x:c r="C201" s="40" t="n">
        <x:v>200</x:v>
      </x:c>
      <x:c r="D201" s="41" t="n">
        <x:v>0.8696</x:v>
      </x:c>
      <x:c r="E201" s="41" t="n">
        <x:v>0.1919</x:v>
      </x:c>
      <x:c r="F201" s="48" t="str">
        <x:v>experiments/results/cade/200/07.22-16.19.11/cade_apigraph_127_warm_lr0.0001_adam_cosine_1_e100_wlr5e-05_we50_mwlr5e-05_mwe50_test_2013-01_2018-12_cnt200.csv</x:v>
      </x:c>
    </x:row>
    <x:row r="202" ht="20" customHeight="1">
      <x:c r="A202" s="27" t="str">
        <x:v>CADE</x:v>
      </x:c>
      <x:c r="B202" s="30" t="str">
        <x:v>2017-06</x:v>
      </x:c>
      <x:c r="C202" s="40" t="n">
        <x:v>200</x:v>
      </x:c>
      <x:c r="D202" s="41" t="n">
        <x:v>0.9163</x:v>
      </x:c>
      <x:c r="E202" s="41" t="n">
        <x:v>0.0796</x:v>
      </x:c>
      <x:c r="F202" s="48" t="str">
        <x:v>experiments/results/cade/200/07.22-16.19.11/cade_apigraph_127_warm_lr0.0001_adam_cosine_1_e100_wlr5e-05_we50_mwlr5e-05_mwe50_test_2013-01_2018-12_cnt200.csv</x:v>
      </x:c>
    </x:row>
    <x:row r="203" ht="20" customHeight="1">
      <x:c r="A203" s="27" t="str">
        <x:v>CADE</x:v>
      </x:c>
      <x:c r="B203" s="30" t="str">
        <x:v>2017-07</x:v>
      </x:c>
      <x:c r="C203" s="40" t="n">
        <x:v>200</x:v>
      </x:c>
      <x:c r="D203" s="41" t="n">
        <x:v>0.9048</x:v>
      </x:c>
      <x:c r="E203" s="41" t="n">
        <x:v>0.0856</x:v>
      </x:c>
      <x:c r="F203" s="48" t="str">
        <x:v>experiments/results/cade/200/07.22-16.19.11/cade_apigraph_127_warm_lr0.0001_adam_cosine_1_e100_wlr5e-05_we50_mwlr5e-05_mwe50_test_2013-01_2018-12_cnt200.csv</x:v>
      </x:c>
    </x:row>
    <x:row r="204" ht="20" customHeight="1">
      <x:c r="A204" s="27" t="str">
        <x:v>CADE</x:v>
      </x:c>
      <x:c r="B204" s="30" t="str">
        <x:v>2017-08</x:v>
      </x:c>
      <x:c r="C204" s="40" t="n">
        <x:v>200</x:v>
      </x:c>
      <x:c r="D204" s="41" t="n">
        <x:v>0.9349</x:v>
      </x:c>
      <x:c r="E204" s="41" t="n">
        <x:v>0.0541</x:v>
      </x:c>
      <x:c r="F204" s="48" t="str">
        <x:v>experiments/results/cade/200/07.22-16.19.11/cade_apigraph_127_warm_lr0.0001_adam_cosine_1_e100_wlr5e-05_we50_mwlr5e-05_mwe50_test_2013-01_2018-12_cnt200.csv</x:v>
      </x:c>
    </x:row>
    <x:row r="205" ht="20" customHeight="1">
      <x:c r="A205" s="27" t="str">
        <x:v>CADE</x:v>
      </x:c>
      <x:c r="B205" s="30" t="str">
        <x:v>2017-09</x:v>
      </x:c>
      <x:c r="C205" s="40" t="n">
        <x:v>200</x:v>
      </x:c>
      <x:c r="D205" s="41" t="n">
        <x:v>0.9321</x:v>
      </x:c>
      <x:c r="E205" s="41" t="n">
        <x:v>0.0382</x:v>
      </x:c>
      <x:c r="F205" s="48" t="str">
        <x:v>experiments/results/cade/200/07.22-16.19.11/cade_apigraph_127_warm_lr0.0001_adam_cosine_1_e100_wlr5e-05_we50_mwlr5e-05_mwe50_test_2013-01_2018-12_cnt200.csv</x:v>
      </x:c>
    </x:row>
    <x:row r="206" ht="20" customHeight="1">
      <x:c r="A206" s="27" t="str">
        <x:v>CADE</x:v>
      </x:c>
      <x:c r="B206" s="30" t="str">
        <x:v>2017-10</x:v>
      </x:c>
      <x:c r="C206" s="40" t="n">
        <x:v>200</x:v>
      </x:c>
      <x:c r="D206" s="41" t="n">
        <x:v>0.9159</x:v>
      </x:c>
      <x:c r="E206" s="41" t="n">
        <x:v>0.1131</x:v>
      </x:c>
      <x:c r="F206" s="48" t="str">
        <x:v>experiments/results/cade/200/07.22-16.19.11/cade_apigraph_127_warm_lr0.0001_adam_cosine_1_e100_wlr5e-05_we50_mwlr5e-05_mwe50_test_2013-01_2018-12_cnt200.csv</x:v>
      </x:c>
    </x:row>
    <x:row r="207" ht="20" customHeight="1">
      <x:c r="A207" s="27" t="str">
        <x:v>CADE</x:v>
      </x:c>
      <x:c r="B207" s="30" t="str">
        <x:v>2017-11</x:v>
      </x:c>
      <x:c r="C207" s="40" t="n">
        <x:v>200</x:v>
      </x:c>
      <x:c r="D207" s="41" t="n">
        <x:v>0.8925</x:v>
      </x:c>
      <x:c r="E207" s="41" t="n">
        <x:v>0.0978</x:v>
      </x:c>
      <x:c r="F207" s="48" t="str">
        <x:v>experiments/results/cade/200/07.22-16.19.11/cade_apigraph_127_warm_lr0.0001_adam_cosine_1_e100_wlr5e-05_we50_mwlr5e-05_mwe50_test_2013-01_2018-12_cnt200.csv</x:v>
      </x:c>
    </x:row>
    <x:row r="208" ht="20" customHeight="1">
      <x:c r="A208" s="27" t="str">
        <x:v>CADE</x:v>
      </x:c>
      <x:c r="B208" s="30" t="str">
        <x:v>2017-12</x:v>
      </x:c>
      <x:c r="C208" s="40" t="n">
        <x:v>200</x:v>
      </x:c>
      <x:c r="D208" s="41" t="n">
        <x:v>0.8768</x:v>
      </x:c>
      <x:c r="E208" s="41" t="n">
        <x:v>0.032</x:v>
      </x:c>
      <x:c r="F208" s="48" t="str">
        <x:v>experiments/results/cade/200/07.22-16.19.11/cade_apigraph_127_warm_lr0.0001_adam_cosine_1_e100_wlr5e-05_we50_mwlr5e-05_mwe50_test_2013-01_2018-12_cnt200.csv</x:v>
      </x:c>
    </x:row>
    <x:row r="209" ht="20" customHeight="1">
      <x:c r="A209" s="27" t="str">
        <x:v>CADE</x:v>
      </x:c>
      <x:c r="B209" s="30" t="str">
        <x:v>2018-01</x:v>
      </x:c>
      <x:c r="C209" s="40" t="n">
        <x:v>200</x:v>
      </x:c>
      <x:c r="D209" s="41" t="n">
        <x:v>0.8896</x:v>
      </x:c>
      <x:c r="E209" s="41" t="n">
        <x:v>0.1046</x:v>
      </x:c>
      <x:c r="F209" s="48" t="str">
        <x:v>experiments/results/cade/200/07.22-16.19.11/cade_apigraph_127_warm_lr0.0001_adam_cosine_1_e100_wlr5e-05_we50_mwlr5e-05_mwe50_test_2013-01_2018-12_cnt200.csv</x:v>
      </x:c>
    </x:row>
    <x:row r="210" ht="20" customHeight="1">
      <x:c r="A210" s="27" t="str">
        <x:v>CADE</x:v>
      </x:c>
      <x:c r="B210" s="30" t="str">
        <x:v>2018-02</x:v>
      </x:c>
      <x:c r="C210" s="40" t="n">
        <x:v>200</x:v>
      </x:c>
      <x:c r="D210" s="41" t="n">
        <x:v>0.9181</x:v>
      </x:c>
      <x:c r="E210" s="41" t="n">
        <x:v>0.1103</x:v>
      </x:c>
      <x:c r="F210" s="48" t="str">
        <x:v>experiments/results/cade/200/07.22-16.19.11/cade_apigraph_127_warm_lr0.0001_adam_cosine_1_e100_wlr5e-05_we50_mwlr5e-05_mwe50_test_2013-01_2018-12_cnt200.csv</x:v>
      </x:c>
    </x:row>
    <x:row r="211" ht="20" customHeight="1">
      <x:c r="A211" s="27" t="str">
        <x:v>CADE</x:v>
      </x:c>
      <x:c r="B211" s="30" t="str">
        <x:v>2018-03</x:v>
      </x:c>
      <x:c r="C211" s="40" t="n">
        <x:v>200</x:v>
      </x:c>
      <x:c r="D211" s="41" t="n">
        <x:v>0.8928</x:v>
      </x:c>
      <x:c r="E211" s="41" t="n">
        <x:v>0.073</x:v>
      </x:c>
      <x:c r="F211" s="48" t="str">
        <x:v>experiments/results/cade/200/07.22-16.19.11/cade_apigraph_127_warm_lr0.0001_adam_cosine_1_e100_wlr5e-05_we50_mwlr5e-05_mwe50_test_2013-01_2018-12_cnt200.csv</x:v>
      </x:c>
    </x:row>
    <x:row r="212" ht="20" customHeight="1">
      <x:c r="A212" s="27" t="str">
        <x:v>CADE</x:v>
      </x:c>
      <x:c r="B212" s="30" t="str">
        <x:v>2018-04</x:v>
      </x:c>
      <x:c r="C212" s="40" t="n">
        <x:v>200</x:v>
      </x:c>
      <x:c r="D212" s="41" t="n">
        <x:v>0.9177</x:v>
      </x:c>
      <x:c r="E212" s="41" t="n">
        <x:v>0.0676</x:v>
      </x:c>
      <x:c r="F212" s="48" t="str">
        <x:v>experiments/results/cade/200/07.22-16.19.11/cade_apigraph_127_warm_lr0.0001_adam_cosine_1_e100_wlr5e-05_we50_mwlr5e-05_mwe50_test_2013-01_2018-12_cnt200.csv</x:v>
      </x:c>
    </x:row>
    <x:row r="213" ht="20" customHeight="1">
      <x:c r="A213" s="27" t="str">
        <x:v>CADE</x:v>
      </x:c>
      <x:c r="B213" s="30" t="str">
        <x:v>2018-05</x:v>
      </x:c>
      <x:c r="C213" s="40" t="n">
        <x:v>200</x:v>
      </x:c>
      <x:c r="D213" s="41" t="n">
        <x:v>0.7013</x:v>
      </x:c>
      <x:c r="E213" s="41" t="n">
        <x:v>0.0785</x:v>
      </x:c>
      <x:c r="F213" s="48" t="str">
        <x:v>experiments/results/cade/200/07.22-16.19.11/cade_apigraph_127_warm_lr0.0001_adam_cosine_1_e100_wlr5e-05_we50_mwlr5e-05_mwe50_test_2013-01_2018-12_cnt200.csv</x:v>
      </x:c>
    </x:row>
    <x:row r="214" ht="20" customHeight="1">
      <x:c r="A214" s="27" t="str">
        <x:v>CADE</x:v>
      </x:c>
      <x:c r="B214" s="30" t="str">
        <x:v>2018-06</x:v>
      </x:c>
      <x:c r="C214" s="40" t="n">
        <x:v>200</x:v>
      </x:c>
      <x:c r="D214" s="41" t="n">
        <x:v>0.9119</x:v>
      </x:c>
      <x:c r="E214" s="41" t="n">
        <x:v>0.1444</x:v>
      </x:c>
      <x:c r="F214" s="48" t="str">
        <x:v>experiments/results/cade/200/07.22-16.19.11/cade_apigraph_127_warm_lr0.0001_adam_cosine_1_e100_wlr5e-05_we50_mwlr5e-05_mwe50_test_2013-01_2018-12_cnt200.csv</x:v>
      </x:c>
    </x:row>
    <x:row r="215" ht="20" customHeight="1">
      <x:c r="A215" s="27" t="str">
        <x:v>CADE</x:v>
      </x:c>
      <x:c r="B215" s="30" t="str">
        <x:v>2018-07</x:v>
      </x:c>
      <x:c r="C215" s="40" t="n">
        <x:v>200</x:v>
      </x:c>
      <x:c r="D215" s="41" t="n">
        <x:v>0.8945</x:v>
      </x:c>
      <x:c r="E215" s="41" t="n">
        <x:v>0.1578</x:v>
      </x:c>
      <x:c r="F215" s="48" t="str">
        <x:v>experiments/results/cade/200/07.22-16.19.11/cade_apigraph_127_warm_lr0.0001_adam_cosine_1_e100_wlr5e-05_we50_mwlr5e-05_mwe50_test_2013-01_2018-12_cnt200.csv</x:v>
      </x:c>
    </x:row>
    <x:row r="216" ht="20" customHeight="1">
      <x:c r="A216" s="27" t="str">
        <x:v>CADE</x:v>
      </x:c>
      <x:c r="B216" s="30" t="str">
        <x:v>2018-08</x:v>
      </x:c>
      <x:c r="C216" s="40" t="n">
        <x:v>200</x:v>
      </x:c>
      <x:c r="D216" s="41" t="n">
        <x:v>0.9002</x:v>
      </x:c>
      <x:c r="E216" s="41" t="n">
        <x:v>0.1168</x:v>
      </x:c>
      <x:c r="F216" s="48" t="str">
        <x:v>experiments/results/cade/200/07.22-16.19.11/cade_apigraph_127_warm_lr0.0001_adam_cosine_1_e100_wlr5e-05_we50_mwlr5e-05_mwe50_test_2013-01_2018-12_cnt200.csv</x:v>
      </x:c>
    </x:row>
    <x:row r="217" ht="20" customHeight="1">
      <x:c r="A217" s="27" t="str">
        <x:v>CADE</x:v>
      </x:c>
      <x:c r="B217" s="30" t="str">
        <x:v>2018-09</x:v>
      </x:c>
      <x:c r="C217" s="40" t="n">
        <x:v>200</x:v>
      </x:c>
      <x:c r="D217" s="41" t="n">
        <x:v>0.8666</x:v>
      </x:c>
      <x:c r="E217" s="41" t="n">
        <x:v>0.1703</x:v>
      </x:c>
      <x:c r="F217" s="48" t="str">
        <x:v>experiments/results/cade/200/07.22-16.19.11/cade_apigraph_127_warm_lr0.0001_adam_cosine_1_e100_wlr5e-05_we50_mwlr5e-05_mwe50_test_2013-01_2018-12_cnt200.csv</x:v>
      </x:c>
    </x:row>
    <x:row r="218" ht="20" customHeight="1">
      <x:c r="A218" s="27" t="str">
        <x:v>CADE</x:v>
      </x:c>
      <x:c r="B218" s="30" t="str">
        <x:v>2018-10</x:v>
      </x:c>
      <x:c r="C218" s="40" t="n">
        <x:v>200</x:v>
      </x:c>
      <x:c r="D218" s="41" t="n">
        <x:v>0.8727</x:v>
      </x:c>
      <x:c r="E218" s="41" t="n">
        <x:v>0.1724</x:v>
      </x:c>
      <x:c r="F218" s="48" t="str">
        <x:v>experiments/results/cade/200/07.22-16.19.11/cade_apigraph_127_warm_lr0.0001_adam_cosine_1_e100_wlr5e-05_we50_mwlr5e-05_mwe50_test_2013-01_2018-12_cnt200.csv</x:v>
      </x:c>
    </x:row>
    <x:row r="219" ht="20" customHeight="1">
      <x:c r="A219" s="27" t="str">
        <x:v>CADE</x:v>
      </x:c>
      <x:c r="B219" s="30" t="str">
        <x:v>2018-11</x:v>
      </x:c>
      <x:c r="C219" s="40" t="n">
        <x:v>200</x:v>
      </x:c>
      <x:c r="D219" s="41" t="n">
        <x:v>0.9494</x:v>
      </x:c>
      <x:c r="E219" s="41" t="n">
        <x:v>0.0523</x:v>
      </x:c>
      <x:c r="F219" s="48" t="str">
        <x:v>experiments/results/cade/200/07.22-16.19.11/cade_apigraph_127_warm_lr0.0001_adam_cosine_1_e100_wlr5e-05_we50_mwlr5e-05_mwe50_test_2013-01_2018-12_cnt200.csv</x:v>
      </x:c>
    </x:row>
    <x:row r="220" ht="20" customHeight="1">
      <x:c r="A220" s="27" t="str">
        <x:v>CADE</x:v>
      </x:c>
      <x:c r="B220" s="30" t="str">
        <x:v>2018-12</x:v>
      </x:c>
      <x:c r="C220" s="40" t="n">
        <x:v>200</x:v>
      </x:c>
      <x:c r="D220" s="41" t="n">
        <x:v>0.9643</x:v>
      </x:c>
      <x:c r="E220" s="41" t="n">
        <x:v>0.0207</x:v>
      </x:c>
      <x:c r="F220" s="48" t="str">
        <x:v>experiments/results/cade/200/07.22-16.19.11/cade_apigraph_127_warm_lr0.0001_adam_cosine_1_e100_wlr5e-05_we50_mwlr5e-05_mwe50_test_2013-01_2018-12_cnt200.csv</x:v>
      </x:c>
    </x:row>
    <x:row r="221" ht="20" customHeight="1">
      <x:c r="A221" s="27" t="str">
        <x:v>CADE</x:v>
      </x:c>
      <x:c r="B221" s="30" t="str">
        <x:v>2013-01</x:v>
      </x:c>
      <x:c r="C221" s="40" t="n">
        <x:v>300</x:v>
      </x:c>
      <x:c r="D221" s="41" t="n">
        <x:v>0.9487</x:v>
      </x:c>
      <x:c r="E221" s="41" t="n">
        <x:v>0.038</x:v>
      </x:c>
      <x:c r="F221" s="48" t="str">
        <x:v>experiments/results/cade/300/07.22-21.16.04/cade_apigraph_127_warm_lr0.0001_adam_cosine_1_e100_wlr5e-05_we50_mwlr5e-05_mwe50_test_2013-01_2018-12_cnt300.csv</x:v>
      </x:c>
    </x:row>
    <x:row r="222" ht="20" customHeight="1">
      <x:c r="A222" s="27" t="str">
        <x:v>CADE</x:v>
      </x:c>
      <x:c r="B222" s="30" t="str">
        <x:v>2013-02</x:v>
      </x:c>
      <x:c r="C222" s="40" t="n">
        <x:v>300</x:v>
      </x:c>
      <x:c r="D222" s="41" t="n">
        <x:v>0.8878</x:v>
      </x:c>
      <x:c r="E222" s="41" t="n">
        <x:v>0.1719</x:v>
      </x:c>
      <x:c r="F222" s="48" t="str">
        <x:v>experiments/results/cade/300/07.22-21.16.04/cade_apigraph_127_warm_lr0.0001_adam_cosine_1_e100_wlr5e-05_we50_mwlr5e-05_mwe50_test_2013-01_2018-12_cnt300.csv</x:v>
      </x:c>
    </x:row>
    <x:row r="223" ht="20" customHeight="1">
      <x:c r="A223" s="27" t="str">
        <x:v>CADE</x:v>
      </x:c>
      <x:c r="B223" s="30" t="str">
        <x:v>2013-03</x:v>
      </x:c>
      <x:c r="C223" s="40" t="n">
        <x:v>300</x:v>
      </x:c>
      <x:c r="D223" s="41" t="n">
        <x:v>0.8957</x:v>
      </x:c>
      <x:c r="E223" s="41" t="n">
        <x:v>0.1335</x:v>
      </x:c>
      <x:c r="F223" s="48" t="str">
        <x:v>experiments/results/cade/300/07.22-21.16.04/cade_apigraph_127_warm_lr0.0001_adam_cosine_1_e100_wlr5e-05_we50_mwlr5e-05_mwe50_test_2013-01_2018-12_cnt300.csv</x:v>
      </x:c>
    </x:row>
    <x:row r="224" ht="20" customHeight="1">
      <x:c r="A224" s="27" t="str">
        <x:v>CADE</x:v>
      </x:c>
      <x:c r="B224" s="30" t="str">
        <x:v>2013-04</x:v>
      </x:c>
      <x:c r="C224" s="40" t="n">
        <x:v>300</x:v>
      </x:c>
      <x:c r="D224" s="41" t="n">
        <x:v>0.9316</x:v>
      </x:c>
      <x:c r="E224" s="41" t="n">
        <x:v>0.09</x:v>
      </x:c>
      <x:c r="F224" s="48" t="str">
        <x:v>experiments/results/cade/300/07.22-21.16.04/cade_apigraph_127_warm_lr0.0001_adam_cosine_1_e100_wlr5e-05_we50_mwlr5e-05_mwe50_test_2013-01_2018-12_cnt300.csv</x:v>
      </x:c>
    </x:row>
    <x:row r="225" ht="20" customHeight="1">
      <x:c r="A225" s="27" t="str">
        <x:v>CADE</x:v>
      </x:c>
      <x:c r="B225" s="30" t="str">
        <x:v>2013-05</x:v>
      </x:c>
      <x:c r="C225" s="40" t="n">
        <x:v>300</x:v>
      </x:c>
      <x:c r="D225" s="41" t="n">
        <x:v>0.9205</x:v>
      </x:c>
      <x:c r="E225" s="41" t="n">
        <x:v>0.0871</x:v>
      </x:c>
      <x:c r="F225" s="48" t="str">
        <x:v>experiments/results/cade/300/07.22-21.16.04/cade_apigraph_127_warm_lr0.0001_adam_cosine_1_e100_wlr5e-05_we50_mwlr5e-05_mwe50_test_2013-01_2018-12_cnt300.csv</x:v>
      </x:c>
    </x:row>
    <x:row r="226" ht="20" customHeight="1">
      <x:c r="A226" s="27" t="str">
        <x:v>CADE</x:v>
      </x:c>
      <x:c r="B226" s="30" t="str">
        <x:v>2013-06</x:v>
      </x:c>
      <x:c r="C226" s="40" t="n">
        <x:v>300</x:v>
      </x:c>
      <x:c r="D226" s="41" t="n">
        <x:v>0.9027</x:v>
      </x:c>
      <x:c r="E226" s="41" t="n">
        <x:v>0.1213</x:v>
      </x:c>
      <x:c r="F226" s="48" t="str">
        <x:v>experiments/results/cade/300/07.22-21.16.04/cade_apigraph_127_warm_lr0.0001_adam_cosine_1_e100_wlr5e-05_we50_mwlr5e-05_mwe50_test_2013-01_2018-12_cnt300.csv</x:v>
      </x:c>
    </x:row>
    <x:row r="227" ht="20" customHeight="1">
      <x:c r="A227" s="27" t="str">
        <x:v>CADE</x:v>
      </x:c>
      <x:c r="B227" s="30" t="str">
        <x:v>2013-07</x:v>
      </x:c>
      <x:c r="C227" s="40" t="n">
        <x:v>300</x:v>
      </x:c>
      <x:c r="D227" s="41" t="n">
        <x:v>0.9222</x:v>
      </x:c>
      <x:c r="E227" s="41" t="n">
        <x:v>0.087</x:v>
      </x:c>
      <x:c r="F227" s="48" t="str">
        <x:v>experiments/results/cade/300/07.22-21.16.04/cade_apigraph_127_warm_lr0.0001_adam_cosine_1_e100_wlr5e-05_we50_mwlr5e-05_mwe50_test_2013-01_2018-12_cnt300.csv</x:v>
      </x:c>
    </x:row>
    <x:row r="228" ht="20" customHeight="1">
      <x:c r="A228" s="27" t="str">
        <x:v>CADE</x:v>
      </x:c>
      <x:c r="B228" s="30" t="str">
        <x:v>2013-08</x:v>
      </x:c>
      <x:c r="C228" s="40" t="n">
        <x:v>300</x:v>
      </x:c>
      <x:c r="D228" s="41" t="n">
        <x:v>0.9132</x:v>
      </x:c>
      <x:c r="E228" s="41" t="n">
        <x:v>0.0868</x:v>
      </x:c>
      <x:c r="F228" s="48" t="str">
        <x:v>experiments/results/cade/300/07.22-21.16.04/cade_apigraph_127_warm_lr0.0001_adam_cosine_1_e100_wlr5e-05_we50_mwlr5e-05_mwe50_test_2013-01_2018-12_cnt300.csv</x:v>
      </x:c>
    </x:row>
    <x:row r="229" ht="20" customHeight="1">
      <x:c r="A229" s="27" t="str">
        <x:v>CADE</x:v>
      </x:c>
      <x:c r="B229" s="30" t="str">
        <x:v>2013-09</x:v>
      </x:c>
      <x:c r="C229" s="40" t="n">
        <x:v>300</x:v>
      </x:c>
      <x:c r="D229" s="41" t="n">
        <x:v>0.9004</x:v>
      </x:c>
      <x:c r="E229" s="41" t="n">
        <x:v>0.096</x:v>
      </x:c>
      <x:c r="F229" s="48" t="str">
        <x:v>experiments/results/cade/300/07.22-21.16.04/cade_apigraph_127_warm_lr0.0001_adam_cosine_1_e100_wlr5e-05_we50_mwlr5e-05_mwe50_test_2013-01_2018-12_cnt300.csv</x:v>
      </x:c>
    </x:row>
    <x:row r="230" ht="20" customHeight="1">
      <x:c r="A230" s="27" t="str">
        <x:v>CADE</x:v>
      </x:c>
      <x:c r="B230" s="30" t="str">
        <x:v>2013-10</x:v>
      </x:c>
      <x:c r="C230" s="40" t="n">
        <x:v>300</x:v>
      </x:c>
      <x:c r="D230" s="41" t="n">
        <x:v>0.8836</x:v>
      </x:c>
      <x:c r="E230" s="41" t="n">
        <x:v>0.1102</x:v>
      </x:c>
      <x:c r="F230" s="48" t="str">
        <x:v>experiments/results/cade/300/07.22-21.16.04/cade_apigraph_127_warm_lr0.0001_adam_cosine_1_e100_wlr5e-05_we50_mwlr5e-05_mwe50_test_2013-01_2018-12_cnt300.csv</x:v>
      </x:c>
    </x:row>
    <x:row r="231" ht="20" customHeight="1">
      <x:c r="A231" s="27" t="str">
        <x:v>CADE</x:v>
      </x:c>
      <x:c r="B231" s="30" t="str">
        <x:v>2013-11</x:v>
      </x:c>
      <x:c r="C231" s="40" t="n">
        <x:v>300</x:v>
      </x:c>
      <x:c r="D231" s="41" t="n">
        <x:v>0.9081</x:v>
      </x:c>
      <x:c r="E231" s="41" t="n">
        <x:v>0.1313</x:v>
      </x:c>
      <x:c r="F231" s="48" t="str">
        <x:v>experiments/results/cade/300/07.22-21.16.04/cade_apigraph_127_warm_lr0.0001_adam_cosine_1_e100_wlr5e-05_we50_mwlr5e-05_mwe50_test_2013-01_2018-12_cnt300.csv</x:v>
      </x:c>
    </x:row>
    <x:row r="232" ht="20" customHeight="1">
      <x:c r="A232" s="27" t="str">
        <x:v>CADE</x:v>
      </x:c>
      <x:c r="B232" s="30" t="str">
        <x:v>2013-12</x:v>
      </x:c>
      <x:c r="C232" s="40" t="n">
        <x:v>300</x:v>
      </x:c>
      <x:c r="D232" s="41" t="n">
        <x:v>0.8957</x:v>
      </x:c>
      <x:c r="E232" s="41" t="n">
        <x:v>0.1563</x:v>
      </x:c>
      <x:c r="F232" s="48" t="str">
        <x:v>experiments/results/cade/300/07.22-21.16.04/cade_apigraph_127_warm_lr0.0001_adam_cosine_1_e100_wlr5e-05_we50_mwlr5e-05_mwe50_test_2013-01_2018-12_cnt300.csv</x:v>
      </x:c>
    </x:row>
    <x:row r="233" ht="20" customHeight="1">
      <x:c r="A233" s="27" t="str">
        <x:v>CADE</x:v>
      </x:c>
      <x:c r="B233" s="30" t="str">
        <x:v>2014-01</x:v>
      </x:c>
      <x:c r="C233" s="40" t="n">
        <x:v>300</x:v>
      </x:c>
      <x:c r="D233" s="41" t="n">
        <x:v>0.8906</x:v>
      </x:c>
      <x:c r="E233" s="41" t="n">
        <x:v>0.1582</x:v>
      </x:c>
      <x:c r="F233" s="48" t="str">
        <x:v>experiments/results/cade/300/07.22-21.16.04/cade_apigraph_127_warm_lr0.0001_adam_cosine_1_e100_wlr5e-05_we50_mwlr5e-05_mwe50_test_2013-01_2018-12_cnt300.csv</x:v>
      </x:c>
    </x:row>
    <x:row r="234" ht="20" customHeight="1">
      <x:c r="A234" s="27" t="str">
        <x:v>CADE</x:v>
      </x:c>
      <x:c r="B234" s="30" t="str">
        <x:v>2014-02</x:v>
      </x:c>
      <x:c r="C234" s="40" t="n">
        <x:v>300</x:v>
      </x:c>
      <x:c r="D234" s="41" t="n">
        <x:v>0.9347</x:v>
      </x:c>
      <x:c r="E234" s="41" t="n">
        <x:v>0.0606</x:v>
      </x:c>
      <x:c r="F234" s="48" t="str">
        <x:v>experiments/results/cade/300/07.22-21.16.04/cade_apigraph_127_warm_lr0.0001_adam_cosine_1_e100_wlr5e-05_we50_mwlr5e-05_mwe50_test_2013-01_2018-12_cnt300.csv</x:v>
      </x:c>
    </x:row>
    <x:row r="235" ht="20" customHeight="1">
      <x:c r="A235" s="27" t="str">
        <x:v>CADE</x:v>
      </x:c>
      <x:c r="B235" s="30" t="str">
        <x:v>2014-03</x:v>
      </x:c>
      <x:c r="C235" s="40" t="n">
        <x:v>300</x:v>
      </x:c>
      <x:c r="D235" s="41" t="n">
        <x:v>0.8952</x:v>
      </x:c>
      <x:c r="E235" s="41" t="n">
        <x:v>0.1093</x:v>
      </x:c>
      <x:c r="F235" s="48" t="str">
        <x:v>experiments/results/cade/300/07.22-21.16.04/cade_apigraph_127_warm_lr0.0001_adam_cosine_1_e100_wlr5e-05_we50_mwlr5e-05_mwe50_test_2013-01_2018-12_cnt300.csv</x:v>
      </x:c>
    </x:row>
    <x:row r="236" ht="20" customHeight="1">
      <x:c r="A236" s="27" t="str">
        <x:v>CADE</x:v>
      </x:c>
      <x:c r="B236" s="30" t="str">
        <x:v>2014-04</x:v>
      </x:c>
      <x:c r="C236" s="40" t="n">
        <x:v>300</x:v>
      </x:c>
      <x:c r="D236" s="41" t="n">
        <x:v>0.8717</x:v>
      </x:c>
      <x:c r="E236" s="41" t="n">
        <x:v>0.1432</x:v>
      </x:c>
      <x:c r="F236" s="48" t="str">
        <x:v>experiments/results/cade/300/07.22-21.16.04/cade_apigraph_127_warm_lr0.0001_adam_cosine_1_e100_wlr5e-05_we50_mwlr5e-05_mwe50_test_2013-01_2018-12_cnt300.csv</x:v>
      </x:c>
    </x:row>
    <x:row r="237" ht="20" customHeight="1">
      <x:c r="A237" s="27" t="str">
        <x:v>CADE</x:v>
      </x:c>
      <x:c r="B237" s="30" t="str">
        <x:v>2014-05</x:v>
      </x:c>
      <x:c r="C237" s="40" t="n">
        <x:v>300</x:v>
      </x:c>
      <x:c r="D237" s="41" t="n">
        <x:v>0.8911</x:v>
      </x:c>
      <x:c r="E237" s="41" t="n">
        <x:v>0.1026</x:v>
      </x:c>
      <x:c r="F237" s="48" t="str">
        <x:v>experiments/results/cade/300/07.22-21.16.04/cade_apigraph_127_warm_lr0.0001_adam_cosine_1_e100_wlr5e-05_we50_mwlr5e-05_mwe50_test_2013-01_2018-12_cnt300.csv</x:v>
      </x:c>
    </x:row>
    <x:row r="238" ht="20" customHeight="1">
      <x:c r="A238" s="27" t="str">
        <x:v>CADE</x:v>
      </x:c>
      <x:c r="B238" s="30" t="str">
        <x:v>2014-06</x:v>
      </x:c>
      <x:c r="C238" s="40" t="n">
        <x:v>300</x:v>
      </x:c>
      <x:c r="D238" s="41" t="n">
        <x:v>0.807</x:v>
      </x:c>
      <x:c r="E238" s="41" t="n">
        <x:v>0.261</x:v>
      </x:c>
      <x:c r="F238" s="48" t="str">
        <x:v>experiments/results/cade/300/07.22-21.16.04/cade_apigraph_127_warm_lr0.0001_adam_cosine_1_e100_wlr5e-05_we50_mwlr5e-05_mwe50_test_2013-01_2018-12_cnt300.csv</x:v>
      </x:c>
    </x:row>
    <x:row r="239" ht="20" customHeight="1">
      <x:c r="A239" s="27" t="str">
        <x:v>CADE</x:v>
      </x:c>
      <x:c r="B239" s="30" t="str">
        <x:v>2014-07</x:v>
      </x:c>
      <x:c r="C239" s="40" t="n">
        <x:v>300</x:v>
      </x:c>
      <x:c r="D239" s="41" t="n">
        <x:v>0.7952</x:v>
      </x:c>
      <x:c r="E239" s="41" t="n">
        <x:v>0.2766</x:v>
      </x:c>
      <x:c r="F239" s="48" t="str">
        <x:v>experiments/results/cade/300/07.22-21.16.04/cade_apigraph_127_warm_lr0.0001_adam_cosine_1_e100_wlr5e-05_we50_mwlr5e-05_mwe50_test_2013-01_2018-12_cnt300.csv</x:v>
      </x:c>
    </x:row>
    <x:row r="240" ht="20" customHeight="1">
      <x:c r="A240" s="27" t="str">
        <x:v>CADE</x:v>
      </x:c>
      <x:c r="B240" s="30" t="str">
        <x:v>2014-08</x:v>
      </x:c>
      <x:c r="C240" s="40" t="n">
        <x:v>300</x:v>
      </x:c>
      <x:c r="D240" s="41" t="n">
        <x:v>0.8519</x:v>
      </x:c>
      <x:c r="E240" s="41" t="n">
        <x:v>0.2056</x:v>
      </x:c>
      <x:c r="F240" s="48" t="str">
        <x:v>experiments/results/cade/300/07.22-21.16.04/cade_apigraph_127_warm_lr0.0001_adam_cosine_1_e100_wlr5e-05_we50_mwlr5e-05_mwe50_test_2013-01_2018-12_cnt300.csv</x:v>
      </x:c>
    </x:row>
    <x:row r="241" ht="20" customHeight="1">
      <x:c r="A241" s="27" t="str">
        <x:v>CADE</x:v>
      </x:c>
      <x:c r="B241" s="30" t="str">
        <x:v>2014-09</x:v>
      </x:c>
      <x:c r="C241" s="40" t="n">
        <x:v>300</x:v>
      </x:c>
      <x:c r="D241" s="41" t="n">
        <x:v>0.8469</x:v>
      </x:c>
      <x:c r="E241" s="41" t="n">
        <x:v>0.2133</x:v>
      </x:c>
      <x:c r="F241" s="48" t="str">
        <x:v>experiments/results/cade/300/07.22-21.16.04/cade_apigraph_127_warm_lr0.0001_adam_cosine_1_e100_wlr5e-05_we50_mwlr5e-05_mwe50_test_2013-01_2018-12_cnt300.csv</x:v>
      </x:c>
    </x:row>
    <x:row r="242" ht="20" customHeight="1">
      <x:c r="A242" s="27" t="str">
        <x:v>CADE</x:v>
      </x:c>
      <x:c r="B242" s="30" t="str">
        <x:v>2014-10</x:v>
      </x:c>
      <x:c r="C242" s="40" t="n">
        <x:v>300</x:v>
      </x:c>
      <x:c r="D242" s="41" t="n">
        <x:v>0.8165</x:v>
      </x:c>
      <x:c r="E242" s="41" t="n">
        <x:v>0.2495</x:v>
      </x:c>
      <x:c r="F242" s="48" t="str">
        <x:v>experiments/results/cade/300/07.22-21.16.04/cade_apigraph_127_warm_lr0.0001_adam_cosine_1_e100_wlr5e-05_we50_mwlr5e-05_mwe50_test_2013-01_2018-12_cnt300.csv</x:v>
      </x:c>
    </x:row>
    <x:row r="243" ht="20" customHeight="1">
      <x:c r="A243" s="27" t="str">
        <x:v>CADE</x:v>
      </x:c>
      <x:c r="B243" s="30" t="str">
        <x:v>2014-11</x:v>
      </x:c>
      <x:c r="C243" s="40" t="n">
        <x:v>300</x:v>
      </x:c>
      <x:c r="D243" s="41" t="n">
        <x:v>0.9135</x:v>
      </x:c>
      <x:c r="E243" s="41" t="n">
        <x:v>0.1116</x:v>
      </x:c>
      <x:c r="F243" s="48" t="str">
        <x:v>experiments/results/cade/300/07.22-21.16.04/cade_apigraph_127_warm_lr0.0001_adam_cosine_1_e100_wlr5e-05_we50_mwlr5e-05_mwe50_test_2013-01_2018-12_cnt300.csv</x:v>
      </x:c>
    </x:row>
    <x:row r="244" ht="20" customHeight="1">
      <x:c r="A244" s="27" t="str">
        <x:v>CADE</x:v>
      </x:c>
      <x:c r="B244" s="30" t="str">
        <x:v>2014-12</x:v>
      </x:c>
      <x:c r="C244" s="40" t="n">
        <x:v>300</x:v>
      </x:c>
      <x:c r="D244" s="41" t="n">
        <x:v>0.8716</x:v>
      </x:c>
      <x:c r="E244" s="41" t="n">
        <x:v>0.1947</x:v>
      </x:c>
      <x:c r="F244" s="48" t="str">
        <x:v>experiments/results/cade/300/07.22-21.16.04/cade_apigraph_127_warm_lr0.0001_adam_cosine_1_e100_wlr5e-05_we50_mwlr5e-05_mwe50_test_2013-01_2018-12_cnt300.csv</x:v>
      </x:c>
    </x:row>
    <x:row r="245" ht="20" customHeight="1">
      <x:c r="A245" s="27" t="str">
        <x:v>CADE</x:v>
      </x:c>
      <x:c r="B245" s="30" t="str">
        <x:v>2015-01</x:v>
      </x:c>
      <x:c r="C245" s="40" t="n">
        <x:v>300</x:v>
      </x:c>
      <x:c r="D245" s="41" t="n">
        <x:v>0.8791</x:v>
      </x:c>
      <x:c r="E245" s="41" t="n">
        <x:v>0.1862</x:v>
      </x:c>
      <x:c r="F245" s="48" t="str">
        <x:v>experiments/results/cade/300/07.22-21.16.04/cade_apigraph_127_warm_lr0.0001_adam_cosine_1_e100_wlr5e-05_we50_mwlr5e-05_mwe50_test_2013-01_2018-12_cnt300.csv</x:v>
      </x:c>
    </x:row>
    <x:row r="246" ht="20" customHeight="1">
      <x:c r="A246" s="27" t="str">
        <x:v>CADE</x:v>
      </x:c>
      <x:c r="B246" s="30" t="str">
        <x:v>2015-02</x:v>
      </x:c>
      <x:c r="C246" s="40" t="n">
        <x:v>300</x:v>
      </x:c>
      <x:c r="D246" s="41" t="n">
        <x:v>0.9308</x:v>
      </x:c>
      <x:c r="E246" s="41" t="n">
        <x:v>0.0934</x:v>
      </x:c>
      <x:c r="F246" s="48" t="str">
        <x:v>experiments/results/cade/300/07.22-21.16.04/cade_apigraph_127_warm_lr0.0001_adam_cosine_1_e100_wlr5e-05_we50_mwlr5e-05_mwe50_test_2013-01_2018-12_cnt300.csv</x:v>
      </x:c>
    </x:row>
    <x:row r="247" ht="20" customHeight="1">
      <x:c r="A247" s="27" t="str">
        <x:v>CADE</x:v>
      </x:c>
      <x:c r="B247" s="30" t="str">
        <x:v>2015-03</x:v>
      </x:c>
      <x:c r="C247" s="40" t="n">
        <x:v>300</x:v>
      </x:c>
      <x:c r="D247" s="41" t="n">
        <x:v>0.9382</x:v>
      </x:c>
      <x:c r="E247" s="41" t="n">
        <x:v>0.0807</x:v>
      </x:c>
      <x:c r="F247" s="48" t="str">
        <x:v>experiments/results/cade/300/07.22-21.16.04/cade_apigraph_127_warm_lr0.0001_adam_cosine_1_e100_wlr5e-05_we50_mwlr5e-05_mwe50_test_2013-01_2018-12_cnt300.csv</x:v>
      </x:c>
    </x:row>
    <x:row r="248" ht="20" customHeight="1">
      <x:c r="A248" s="27" t="str">
        <x:v>CADE</x:v>
      </x:c>
      <x:c r="B248" s="30" t="str">
        <x:v>2015-04</x:v>
      </x:c>
      <x:c r="C248" s="40" t="n">
        <x:v>300</x:v>
      </x:c>
      <x:c r="D248" s="41" t="n">
        <x:v>0.9348</x:v>
      </x:c>
      <x:c r="E248" s="41" t="n">
        <x:v>0.0642</x:v>
      </x:c>
      <x:c r="F248" s="48" t="str">
        <x:v>experiments/results/cade/300/07.22-21.16.04/cade_apigraph_127_warm_lr0.0001_adam_cosine_1_e100_wlr5e-05_we50_mwlr5e-05_mwe50_test_2013-01_2018-12_cnt300.csv</x:v>
      </x:c>
    </x:row>
    <x:row r="249" ht="20" customHeight="1">
      <x:c r="A249" s="27" t="str">
        <x:v>CADE</x:v>
      </x:c>
      <x:c r="B249" s="30" t="str">
        <x:v>2015-05</x:v>
      </x:c>
      <x:c r="C249" s="40" t="n">
        <x:v>300</x:v>
      </x:c>
      <x:c r="D249" s="41" t="n">
        <x:v>0.9276</x:v>
      </x:c>
      <x:c r="E249" s="41" t="n">
        <x:v>0.1059</x:v>
      </x:c>
      <x:c r="F249" s="48" t="str">
        <x:v>experiments/results/cade/300/07.22-21.16.04/cade_apigraph_127_warm_lr0.0001_adam_cosine_1_e100_wlr5e-05_we50_mwlr5e-05_mwe50_test_2013-01_2018-12_cnt300.csv</x:v>
      </x:c>
    </x:row>
    <x:row r="250" ht="20" customHeight="1">
      <x:c r="A250" s="27" t="str">
        <x:v>CADE</x:v>
      </x:c>
      <x:c r="B250" s="30" t="str">
        <x:v>2015-06</x:v>
      </x:c>
      <x:c r="C250" s="40" t="n">
        <x:v>300</x:v>
      </x:c>
      <x:c r="D250" s="41" t="n">
        <x:v>0.8775</x:v>
      </x:c>
      <x:c r="E250" s="41" t="n">
        <x:v>0.1772</x:v>
      </x:c>
      <x:c r="F250" s="48" t="str">
        <x:v>experiments/results/cade/300/07.22-21.16.04/cade_apigraph_127_warm_lr0.0001_adam_cosine_1_e100_wlr5e-05_we50_mwlr5e-05_mwe50_test_2013-01_2018-12_cnt300.csv</x:v>
      </x:c>
    </x:row>
    <x:row r="251" ht="20" customHeight="1">
      <x:c r="A251" s="27" t="str">
        <x:v>CADE</x:v>
      </x:c>
      <x:c r="B251" s="30" t="str">
        <x:v>2015-07</x:v>
      </x:c>
      <x:c r="C251" s="40" t="n">
        <x:v>300</x:v>
      </x:c>
      <x:c r="D251" s="41" t="n">
        <x:v>0.8967</x:v>
      </x:c>
      <x:c r="E251" s="41" t="n">
        <x:v>0.1447</x:v>
      </x:c>
      <x:c r="F251" s="48" t="str">
        <x:v>experiments/results/cade/300/07.22-21.16.04/cade_apigraph_127_warm_lr0.0001_adam_cosine_1_e100_wlr5e-05_we50_mwlr5e-05_mwe50_test_2013-01_2018-12_cnt300.csv</x:v>
      </x:c>
    </x:row>
    <x:row r="252" ht="20" customHeight="1">
      <x:c r="A252" s="27" t="str">
        <x:v>CADE</x:v>
      </x:c>
      <x:c r="B252" s="30" t="str">
        <x:v>2015-08</x:v>
      </x:c>
      <x:c r="C252" s="40" t="n">
        <x:v>300</x:v>
      </x:c>
      <x:c r="D252" s="41" t="n">
        <x:v>0.9171</x:v>
      </x:c>
      <x:c r="E252" s="41" t="n">
        <x:v>0.1144</x:v>
      </x:c>
      <x:c r="F252" s="48" t="str">
        <x:v>experiments/results/cade/300/07.22-21.16.04/cade_apigraph_127_warm_lr0.0001_adam_cosine_1_e100_wlr5e-05_we50_mwlr5e-05_mwe50_test_2013-01_2018-12_cnt300.csv</x:v>
      </x:c>
    </x:row>
    <x:row r="253" ht="20" customHeight="1">
      <x:c r="A253" s="27" t="str">
        <x:v>CADE</x:v>
      </x:c>
      <x:c r="B253" s="30" t="str">
        <x:v>2015-09</x:v>
      </x:c>
      <x:c r="C253" s="40" t="n">
        <x:v>300</x:v>
      </x:c>
      <x:c r="D253" s="41" t="n">
        <x:v>0.8107</x:v>
      </x:c>
      <x:c r="E253" s="41" t="n">
        <x:v>0.2801</x:v>
      </x:c>
      <x:c r="F253" s="48" t="str">
        <x:v>experiments/results/cade/300/07.22-21.16.04/cade_apigraph_127_warm_lr0.0001_adam_cosine_1_e100_wlr5e-05_we50_mwlr5e-05_mwe50_test_2013-01_2018-12_cnt300.csv</x:v>
      </x:c>
    </x:row>
    <x:row r="254" ht="20" customHeight="1">
      <x:c r="A254" s="27" t="str">
        <x:v>CADE</x:v>
      </x:c>
      <x:c r="B254" s="30" t="str">
        <x:v>2015-10</x:v>
      </x:c>
      <x:c r="C254" s="40" t="n">
        <x:v>300</x:v>
      </x:c>
      <x:c r="D254" s="41" t="n">
        <x:v>0.8277</x:v>
      </x:c>
      <x:c r="E254" s="41" t="n">
        <x:v>0.2463</x:v>
      </x:c>
      <x:c r="F254" s="48" t="str">
        <x:v>experiments/results/cade/300/07.22-21.16.04/cade_apigraph_127_warm_lr0.0001_adam_cosine_1_e100_wlr5e-05_we50_mwlr5e-05_mwe50_test_2013-01_2018-12_cnt300.csv</x:v>
      </x:c>
    </x:row>
    <x:row r="255" ht="20" customHeight="1">
      <x:c r="A255" s="27" t="str">
        <x:v>CADE</x:v>
      </x:c>
      <x:c r="B255" s="30" t="str">
        <x:v>2015-11</x:v>
      </x:c>
      <x:c r="C255" s="40" t="n">
        <x:v>300</x:v>
      </x:c>
      <x:c r="D255" s="41" t="n">
        <x:v>0.9511</x:v>
      </x:c>
      <x:c r="E255" s="41" t="n">
        <x:v>0.043</x:v>
      </x:c>
      <x:c r="F255" s="48" t="str">
        <x:v>experiments/results/cade/300/07.22-21.16.04/cade_apigraph_127_warm_lr0.0001_adam_cosine_1_e100_wlr5e-05_we50_mwlr5e-05_mwe50_test_2013-01_2018-12_cnt300.csv</x:v>
      </x:c>
    </x:row>
    <x:row r="256" ht="20" customHeight="1">
      <x:c r="A256" s="27" t="str">
        <x:v>CADE</x:v>
      </x:c>
      <x:c r="B256" s="30" t="str">
        <x:v>2015-12</x:v>
      </x:c>
      <x:c r="C256" s="40" t="n">
        <x:v>300</x:v>
      </x:c>
      <x:c r="D256" s="41" t="n">
        <x:v>0.9401</x:v>
      </x:c>
      <x:c r="E256" s="41" t="n">
        <x:v>0.0541</x:v>
      </x:c>
      <x:c r="F256" s="48" t="str">
        <x:v>experiments/results/cade/300/07.22-21.16.04/cade_apigraph_127_warm_lr0.0001_adam_cosine_1_e100_wlr5e-05_we50_mwlr5e-05_mwe50_test_2013-01_2018-12_cnt300.csv</x:v>
      </x:c>
    </x:row>
    <x:row r="257" ht="20" customHeight="1">
      <x:c r="A257" s="27" t="str">
        <x:v>CADE</x:v>
      </x:c>
      <x:c r="B257" s="30" t="str">
        <x:v>2016-01</x:v>
      </x:c>
      <x:c r="C257" s="40" t="n">
        <x:v>300</x:v>
      </x:c>
      <x:c r="D257" s="41" t="n">
        <x:v>0.9176</x:v>
      </x:c>
      <x:c r="E257" s="41" t="n">
        <x:v>0.1193</x:v>
      </x:c>
      <x:c r="F257" s="48" t="str">
        <x:v>experiments/results/cade/300/07.22-21.16.04/cade_apigraph_127_warm_lr0.0001_adam_cosine_1_e100_wlr5e-05_we50_mwlr5e-05_mwe50_test_2013-01_2018-12_cnt300.csv</x:v>
      </x:c>
    </x:row>
    <x:row r="258" ht="20" customHeight="1">
      <x:c r="A258" s="27" t="str">
        <x:v>CADE</x:v>
      </x:c>
      <x:c r="B258" s="30" t="str">
        <x:v>2016-02</x:v>
      </x:c>
      <x:c r="C258" s="40" t="n">
        <x:v>300</x:v>
      </x:c>
      <x:c r="D258" s="41" t="n">
        <x:v>0.9396</x:v>
      </x:c>
      <x:c r="E258" s="41" t="n">
        <x:v>0.0507</x:v>
      </x:c>
      <x:c r="F258" s="48" t="str">
        <x:v>experiments/results/cade/300/07.22-21.16.04/cade_apigraph_127_warm_lr0.0001_adam_cosine_1_e100_wlr5e-05_we50_mwlr5e-05_mwe50_test_2013-01_2018-12_cnt300.csv</x:v>
      </x:c>
    </x:row>
    <x:row r="259" ht="20" customHeight="1">
      <x:c r="A259" s="27" t="str">
        <x:v>CADE</x:v>
      </x:c>
      <x:c r="B259" s="30" t="str">
        <x:v>2016-03</x:v>
      </x:c>
      <x:c r="C259" s="40" t="n">
        <x:v>300</x:v>
      </x:c>
      <x:c r="D259" s="41" t="n">
        <x:v>0.9489</x:v>
      </x:c>
      <x:c r="E259" s="41" t="n">
        <x:v>0.0375</x:v>
      </x:c>
      <x:c r="F259" s="48" t="str">
        <x:v>experiments/results/cade/300/07.22-21.16.04/cade_apigraph_127_warm_lr0.0001_adam_cosine_1_e100_wlr5e-05_we50_mwlr5e-05_mwe50_test_2013-01_2018-12_cnt300.csv</x:v>
      </x:c>
    </x:row>
    <x:row r="260" ht="20" customHeight="1">
      <x:c r="A260" s="27" t="str">
        <x:v>CADE</x:v>
      </x:c>
      <x:c r="B260" s="30" t="str">
        <x:v>2016-04</x:v>
      </x:c>
      <x:c r="C260" s="40" t="n">
        <x:v>300</x:v>
      </x:c>
      <x:c r="D260" s="41" t="n">
        <x:v>0.9174</x:v>
      </x:c>
      <x:c r="E260" s="41" t="n">
        <x:v>0.0486</x:v>
      </x:c>
      <x:c r="F260" s="48" t="str">
        <x:v>experiments/results/cade/300/07.22-21.16.04/cade_apigraph_127_warm_lr0.0001_adam_cosine_1_e100_wlr5e-05_we50_mwlr5e-05_mwe50_test_2013-01_2018-12_cnt300.csv</x:v>
      </x:c>
    </x:row>
    <x:row r="261" ht="20" customHeight="1">
      <x:c r="A261" s="27" t="str">
        <x:v>CADE</x:v>
      </x:c>
      <x:c r="B261" s="30" t="str">
        <x:v>2016-05</x:v>
      </x:c>
      <x:c r="C261" s="40" t="n">
        <x:v>300</x:v>
      </x:c>
      <x:c r="D261" s="41" t="n">
        <x:v>0.9423</x:v>
      </x:c>
      <x:c r="E261" s="41" t="n">
        <x:v>0.0755</x:v>
      </x:c>
      <x:c r="F261" s="48" t="str">
        <x:v>experiments/results/cade/300/07.22-21.16.04/cade_apigraph_127_warm_lr0.0001_adam_cosine_1_e100_wlr5e-05_we50_mwlr5e-05_mwe50_test_2013-01_2018-12_cnt300.csv</x:v>
      </x:c>
    </x:row>
    <x:row r="262" ht="20" customHeight="1">
      <x:c r="A262" s="27" t="str">
        <x:v>CADE</x:v>
      </x:c>
      <x:c r="B262" s="30" t="str">
        <x:v>2016-06</x:v>
      </x:c>
      <x:c r="C262" s="40" t="n">
        <x:v>300</x:v>
      </x:c>
      <x:c r="D262" s="41" t="n">
        <x:v>0.9294</x:v>
      </x:c>
      <x:c r="E262" s="41" t="n">
        <x:v>0.0772</x:v>
      </x:c>
      <x:c r="F262" s="48" t="str">
        <x:v>experiments/results/cade/300/07.22-21.16.04/cade_apigraph_127_warm_lr0.0001_adam_cosine_1_e100_wlr5e-05_we50_mwlr5e-05_mwe50_test_2013-01_2018-12_cnt300.csv</x:v>
      </x:c>
    </x:row>
    <x:row r="263" ht="20" customHeight="1">
      <x:c r="A263" s="27" t="str">
        <x:v>CADE</x:v>
      </x:c>
      <x:c r="B263" s="30" t="str">
        <x:v>2016-07</x:v>
      </x:c>
      <x:c r="C263" s="40" t="n">
        <x:v>300</x:v>
      </x:c>
      <x:c r="D263" s="41" t="n">
        <x:v>0.929</x:v>
      </x:c>
      <x:c r="E263" s="41" t="n">
        <x:v>0.0748</x:v>
      </x:c>
      <x:c r="F263" s="48" t="str">
        <x:v>experiments/results/cade/300/07.22-21.16.04/cade_apigraph_127_warm_lr0.0001_adam_cosine_1_e100_wlr5e-05_we50_mwlr5e-05_mwe50_test_2013-01_2018-12_cnt300.csv</x:v>
      </x:c>
    </x:row>
    <x:row r="264" ht="20" customHeight="1">
      <x:c r="A264" s="27" t="str">
        <x:v>CADE</x:v>
      </x:c>
      <x:c r="B264" s="30" t="str">
        <x:v>2016-08</x:v>
      </x:c>
      <x:c r="C264" s="40" t="n">
        <x:v>300</x:v>
      </x:c>
      <x:c r="D264" s="41" t="n">
        <x:v>0.9204</x:v>
      </x:c>
      <x:c r="E264" s="41" t="n">
        <x:v>0.0805</x:v>
      </x:c>
      <x:c r="F264" s="48" t="str">
        <x:v>experiments/results/cade/300/07.22-21.16.04/cade_apigraph_127_warm_lr0.0001_adam_cosine_1_e100_wlr5e-05_we50_mwlr5e-05_mwe50_test_2013-01_2018-12_cnt300.csv</x:v>
      </x:c>
    </x:row>
    <x:row r="265" ht="20" customHeight="1">
      <x:c r="A265" s="27" t="str">
        <x:v>CADE</x:v>
      </x:c>
      <x:c r="B265" s="30" t="str">
        <x:v>2016-09</x:v>
      </x:c>
      <x:c r="C265" s="40" t="n">
        <x:v>300</x:v>
      </x:c>
      <x:c r="D265" s="41" t="n">
        <x:v>0.8809</x:v>
      </x:c>
      <x:c r="E265" s="41" t="n">
        <x:v>0.1602</x:v>
      </x:c>
      <x:c r="F265" s="48" t="str">
        <x:v>experiments/results/cade/300/07.22-21.16.04/cade_apigraph_127_warm_lr0.0001_adam_cosine_1_e100_wlr5e-05_we50_mwlr5e-05_mwe50_test_2013-01_2018-12_cnt300.csv</x:v>
      </x:c>
    </x:row>
    <x:row r="266" ht="20" customHeight="1">
      <x:c r="A266" s="27" t="str">
        <x:v>CADE</x:v>
      </x:c>
      <x:c r="B266" s="30" t="str">
        <x:v>2016-10</x:v>
      </x:c>
      <x:c r="C266" s="40" t="n">
        <x:v>300</x:v>
      </x:c>
      <x:c r="D266" s="41" t="n">
        <x:v>0.8628</x:v>
      </x:c>
      <x:c r="E266" s="41" t="n">
        <x:v>0.1118</x:v>
      </x:c>
      <x:c r="F266" s="48" t="str">
        <x:v>experiments/results/cade/300/07.22-21.16.04/cade_apigraph_127_warm_lr0.0001_adam_cosine_1_e100_wlr5e-05_we50_mwlr5e-05_mwe50_test_2013-01_2018-12_cnt300.csv</x:v>
      </x:c>
    </x:row>
    <x:row r="267" ht="20" customHeight="1">
      <x:c r="A267" s="27" t="str">
        <x:v>CADE</x:v>
      </x:c>
      <x:c r="B267" s="30" t="str">
        <x:v>2016-11</x:v>
      </x:c>
      <x:c r="C267" s="40" t="n">
        <x:v>300</x:v>
      </x:c>
      <x:c r="D267" s="41" t="n">
        <x:v>0.7664</x:v>
      </x:c>
      <x:c r="E267" s="41" t="n">
        <x:v>0.2939</x:v>
      </x:c>
      <x:c r="F267" s="48" t="str">
        <x:v>experiments/results/cade/300/07.22-21.16.04/cade_apigraph_127_warm_lr0.0001_adam_cosine_1_e100_wlr5e-05_we50_mwlr5e-05_mwe50_test_2013-01_2018-12_cnt300.csv</x:v>
      </x:c>
    </x:row>
    <x:row r="268" ht="20" customHeight="1">
      <x:c r="A268" s="27" t="str">
        <x:v>CADE</x:v>
      </x:c>
      <x:c r="B268" s="30" t="str">
        <x:v>2016-12</x:v>
      </x:c>
      <x:c r="C268" s="40" t="n">
        <x:v>300</x:v>
      </x:c>
      <x:c r="D268" s="41" t="n">
        <x:v>0.8354</x:v>
      </x:c>
      <x:c r="E268" s="41" t="n">
        <x:v>0.215</x:v>
      </x:c>
      <x:c r="F268" s="48" t="str">
        <x:v>experiments/results/cade/300/07.22-21.16.04/cade_apigraph_127_warm_lr0.0001_adam_cosine_1_e100_wlr5e-05_we50_mwlr5e-05_mwe50_test_2013-01_2018-12_cnt300.csv</x:v>
      </x:c>
    </x:row>
    <x:row r="269" ht="20" customHeight="1">
      <x:c r="A269" s="27" t="str">
        <x:v>CADE</x:v>
      </x:c>
      <x:c r="B269" s="30" t="str">
        <x:v>2017-01</x:v>
      </x:c>
      <x:c r="C269" s="40" t="n">
        <x:v>300</x:v>
      </x:c>
      <x:c r="D269" s="41" t="n">
        <x:v>0.8978</x:v>
      </x:c>
      <x:c r="E269" s="41" t="n">
        <x:v>0.0938</x:v>
      </x:c>
      <x:c r="F269" s="48" t="str">
        <x:v>experiments/results/cade/300/07.22-21.16.04/cade_apigraph_127_warm_lr0.0001_adam_cosine_1_e100_wlr5e-05_we50_mwlr5e-05_mwe50_test_2013-01_2018-12_cnt300.csv</x:v>
      </x:c>
    </x:row>
    <x:row r="270" ht="20" customHeight="1">
      <x:c r="A270" s="27" t="str">
        <x:v>CADE</x:v>
      </x:c>
      <x:c r="B270" s="30" t="str">
        <x:v>2017-02</x:v>
      </x:c>
      <x:c r="C270" s="40" t="n">
        <x:v>300</x:v>
      </x:c>
      <x:c r="D270" s="41" t="n">
        <x:v>0.9462</x:v>
      </x:c>
      <x:c r="E270" s="41" t="n">
        <x:v>0.0679</x:v>
      </x:c>
      <x:c r="F270" s="48" t="str">
        <x:v>experiments/results/cade/300/07.22-21.16.04/cade_apigraph_127_warm_lr0.0001_adam_cosine_1_e100_wlr5e-05_we50_mwlr5e-05_mwe50_test_2013-01_2018-12_cnt300.csv</x:v>
      </x:c>
    </x:row>
    <x:row r="271" ht="20" customHeight="1">
      <x:c r="A271" s="27" t="str">
        <x:v>CADE</x:v>
      </x:c>
      <x:c r="B271" s="30" t="str">
        <x:v>2017-03</x:v>
      </x:c>
      <x:c r="C271" s="40" t="n">
        <x:v>300</x:v>
      </x:c>
      <x:c r="D271" s="41" t="n">
        <x:v>0.8529</x:v>
      </x:c>
      <x:c r="E271" s="41" t="n">
        <x:v>0.1355</x:v>
      </x:c>
      <x:c r="F271" s="48" t="str">
        <x:v>experiments/results/cade/300/07.22-21.16.04/cade_apigraph_127_warm_lr0.0001_adam_cosine_1_e100_wlr5e-05_we50_mwlr5e-05_mwe50_test_2013-01_2018-12_cnt300.csv</x:v>
      </x:c>
    </x:row>
    <x:row r="272" ht="20" customHeight="1">
      <x:c r="A272" s="27" t="str">
        <x:v>CADE</x:v>
      </x:c>
      <x:c r="B272" s="30" t="str">
        <x:v>2017-04</x:v>
      </x:c>
      <x:c r="C272" s="40" t="n">
        <x:v>300</x:v>
      </x:c>
      <x:c r="D272" s="41" t="n">
        <x:v>0.8299</x:v>
      </x:c>
      <x:c r="E272" s="41" t="n">
        <x:v>0.2129</x:v>
      </x:c>
      <x:c r="F272" s="48" t="str">
        <x:v>experiments/results/cade/300/07.22-21.16.04/cade_apigraph_127_warm_lr0.0001_adam_cosine_1_e100_wlr5e-05_we50_mwlr5e-05_mwe50_test_2013-01_2018-12_cnt300.csv</x:v>
      </x:c>
    </x:row>
    <x:row r="273" ht="20" customHeight="1">
      <x:c r="A273" s="27" t="str">
        <x:v>CADE</x:v>
      </x:c>
      <x:c r="B273" s="30" t="str">
        <x:v>2017-05</x:v>
      </x:c>
      <x:c r="C273" s="40" t="n">
        <x:v>300</x:v>
      </x:c>
      <x:c r="D273" s="41" t="n">
        <x:v>0.9005</x:v>
      </x:c>
      <x:c r="E273" s="41" t="n">
        <x:v>0.1313</x:v>
      </x:c>
      <x:c r="F273" s="48" t="str">
        <x:v>experiments/results/cade/300/07.22-21.16.04/cade_apigraph_127_warm_lr0.0001_adam_cosine_1_e100_wlr5e-05_we50_mwlr5e-05_mwe50_test_2013-01_2018-12_cnt300.csv</x:v>
      </x:c>
    </x:row>
    <x:row r="274" ht="20" customHeight="1">
      <x:c r="A274" s="27" t="str">
        <x:v>CADE</x:v>
      </x:c>
      <x:c r="B274" s="30" t="str">
        <x:v>2017-06</x:v>
      </x:c>
      <x:c r="C274" s="40" t="n">
        <x:v>300</x:v>
      </x:c>
      <x:c r="D274" s="41" t="n">
        <x:v>0.8309</x:v>
      </x:c>
      <x:c r="E274" s="41" t="n">
        <x:v>0.2389</x:v>
      </x:c>
      <x:c r="F274" s="48" t="str">
        <x:v>experiments/results/cade/300/07.22-21.16.04/cade_apigraph_127_warm_lr0.0001_adam_cosine_1_e100_wlr5e-05_we50_mwlr5e-05_mwe50_test_2013-01_2018-12_cnt300.csv</x:v>
      </x:c>
    </x:row>
    <x:row r="275" ht="20" customHeight="1">
      <x:c r="A275" s="27" t="str">
        <x:v>CADE</x:v>
      </x:c>
      <x:c r="B275" s="30" t="str">
        <x:v>2017-07</x:v>
      </x:c>
      <x:c r="C275" s="40" t="n">
        <x:v>300</x:v>
      </x:c>
      <x:c r="D275" s="41" t="n">
        <x:v>0.8836</x:v>
      </x:c>
      <x:c r="E275" s="41" t="n">
        <x:v>0.107</x:v>
      </x:c>
      <x:c r="F275" s="48" t="str">
        <x:v>experiments/results/cade/300/07.22-21.16.04/cade_apigraph_127_warm_lr0.0001_adam_cosine_1_e100_wlr5e-05_we50_mwlr5e-05_mwe50_test_2013-01_2018-12_cnt300.csv</x:v>
      </x:c>
    </x:row>
    <x:row r="276" ht="20" customHeight="1">
      <x:c r="A276" s="27" t="str">
        <x:v>CADE</x:v>
      </x:c>
      <x:c r="B276" s="30" t="str">
        <x:v>2017-08</x:v>
      </x:c>
      <x:c r="C276" s="40" t="n">
        <x:v>300</x:v>
      </x:c>
      <x:c r="D276" s="41" t="n">
        <x:v>0.9216</x:v>
      </x:c>
      <x:c r="E276" s="41" t="n">
        <x:v>0.0473</x:v>
      </x:c>
      <x:c r="F276" s="48" t="str">
        <x:v>experiments/results/cade/300/07.22-21.16.04/cade_apigraph_127_warm_lr0.0001_adam_cosine_1_e100_wlr5e-05_we50_mwlr5e-05_mwe50_test_2013-01_2018-12_cnt300.csv</x:v>
      </x:c>
    </x:row>
    <x:row r="277" ht="20" customHeight="1">
      <x:c r="A277" s="27" t="str">
        <x:v>CADE</x:v>
      </x:c>
      <x:c r="B277" s="30" t="str">
        <x:v>2017-09</x:v>
      </x:c>
      <x:c r="C277" s="40" t="n">
        <x:v>300</x:v>
      </x:c>
      <x:c r="D277" s="41" t="n">
        <x:v>0.9048</x:v>
      </x:c>
      <x:c r="E277" s="41" t="n">
        <x:v>0.0318</x:v>
      </x:c>
      <x:c r="F277" s="48" t="str">
        <x:v>experiments/results/cade/300/07.22-21.16.04/cade_apigraph_127_warm_lr0.0001_adam_cosine_1_e100_wlr5e-05_we50_mwlr5e-05_mwe50_test_2013-01_2018-12_cnt300.csv</x:v>
      </x:c>
    </x:row>
    <x:row r="278" ht="20" customHeight="1">
      <x:c r="A278" s="27" t="str">
        <x:v>CADE</x:v>
      </x:c>
      <x:c r="B278" s="30" t="str">
        <x:v>2017-10</x:v>
      </x:c>
      <x:c r="C278" s="40" t="n">
        <x:v>300</x:v>
      </x:c>
      <x:c r="D278" s="41" t="n">
        <x:v>0.8889</x:v>
      </x:c>
      <x:c r="E278" s="41" t="n">
        <x:v>0.095</x:v>
      </x:c>
      <x:c r="F278" s="48" t="str">
        <x:v>experiments/results/cade/300/07.22-21.16.04/cade_apigraph_127_warm_lr0.0001_adam_cosine_1_e100_wlr5e-05_we50_mwlr5e-05_mwe50_test_2013-01_2018-12_cnt300.csv</x:v>
      </x:c>
    </x:row>
    <x:row r="279" ht="20" customHeight="1">
      <x:c r="A279" s="27" t="str">
        <x:v>CADE</x:v>
      </x:c>
      <x:c r="B279" s="30" t="str">
        <x:v>2017-11</x:v>
      </x:c>
      <x:c r="C279" s="40" t="n">
        <x:v>300</x:v>
      </x:c>
      <x:c r="D279" s="41" t="n">
        <x:v>0.866</x:v>
      </x:c>
      <x:c r="E279" s="41" t="n">
        <x:v>0.087</x:v>
      </x:c>
      <x:c r="F279" s="48" t="str">
        <x:v>experiments/results/cade/300/07.22-21.16.04/cade_apigraph_127_warm_lr0.0001_adam_cosine_1_e100_wlr5e-05_we50_mwlr5e-05_mwe50_test_2013-01_2018-12_cnt300.csv</x:v>
      </x:c>
    </x:row>
    <x:row r="280" ht="20" customHeight="1">
      <x:c r="A280" s="27" t="str">
        <x:v>CADE</x:v>
      </x:c>
      <x:c r="B280" s="30" t="str">
        <x:v>2017-12</x:v>
      </x:c>
      <x:c r="C280" s="40" t="n">
        <x:v>300</x:v>
      </x:c>
      <x:c r="D280" s="41" t="n">
        <x:v>0.8612</x:v>
      </x:c>
      <x:c r="E280" s="41" t="n">
        <x:v>0.032</x:v>
      </x:c>
      <x:c r="F280" s="48" t="str">
        <x:v>experiments/results/cade/300/07.22-21.16.04/cade_apigraph_127_warm_lr0.0001_adam_cosine_1_e100_wlr5e-05_we50_mwlr5e-05_mwe50_test_2013-01_2018-12_cnt300.csv</x:v>
      </x:c>
    </x:row>
    <x:row r="281" ht="20" customHeight="1">
      <x:c r="A281" s="27" t="str">
        <x:v>CADE</x:v>
      </x:c>
      <x:c r="B281" s="30" t="str">
        <x:v>2018-01</x:v>
      </x:c>
      <x:c r="C281" s="40" t="n">
        <x:v>300</x:v>
      </x:c>
      <x:c r="D281" s="41" t="n">
        <x:v>0.8698</x:v>
      </x:c>
      <x:c r="E281" s="41" t="n">
        <x:v>0.1046</x:v>
      </x:c>
      <x:c r="F281" s="48" t="str">
        <x:v>experiments/results/cade/300/07.22-21.16.04/cade_apigraph_127_warm_lr0.0001_adam_cosine_1_e100_wlr5e-05_we50_mwlr5e-05_mwe50_test_2013-01_2018-12_cnt300.csv</x:v>
      </x:c>
    </x:row>
    <x:row r="282" ht="20" customHeight="1">
      <x:c r="A282" s="27" t="str">
        <x:v>CADE</x:v>
      </x:c>
      <x:c r="B282" s="30" t="str">
        <x:v>2018-02</x:v>
      </x:c>
      <x:c r="C282" s="40" t="n">
        <x:v>300</x:v>
      </x:c>
      <x:c r="D282" s="41" t="n">
        <x:v>0.8828</x:v>
      </x:c>
      <x:c r="E282" s="41" t="n">
        <x:v>0.1172</x:v>
      </x:c>
      <x:c r="F282" s="48" t="str">
        <x:v>experiments/results/cade/300/07.22-21.16.04/cade_apigraph_127_warm_lr0.0001_adam_cosine_1_e100_wlr5e-05_we50_mwlr5e-05_mwe50_test_2013-01_2018-12_cnt300.csv</x:v>
      </x:c>
    </x:row>
    <x:row r="283" ht="20" customHeight="1">
      <x:c r="A283" s="27" t="str">
        <x:v>CADE</x:v>
      </x:c>
      <x:c r="B283" s="30" t="str">
        <x:v>2018-03</x:v>
      </x:c>
      <x:c r="C283" s="40" t="n">
        <x:v>300</x:v>
      </x:c>
      <x:c r="D283" s="41" t="n">
        <x:v>0.8571</x:v>
      </x:c>
      <x:c r="E283" s="41" t="n">
        <x:v>0.0584</x:v>
      </x:c>
      <x:c r="F283" s="48" t="str">
        <x:v>experiments/results/cade/300/07.22-21.16.04/cade_apigraph_127_warm_lr0.0001_adam_cosine_1_e100_wlr5e-05_we50_mwlr5e-05_mwe50_test_2013-01_2018-12_cnt300.csv</x:v>
      </x:c>
    </x:row>
    <x:row r="284" ht="20" customHeight="1">
      <x:c r="A284" s="27" t="str">
        <x:v>CADE</x:v>
      </x:c>
      <x:c r="B284" s="30" t="str">
        <x:v>2018-04</x:v>
      </x:c>
      <x:c r="C284" s="40" t="n">
        <x:v>300</x:v>
      </x:c>
      <x:c r="D284" s="41" t="n">
        <x:v>0.8719</x:v>
      </x:c>
      <x:c r="E284" s="41" t="n">
        <x:v>0.0676</x:v>
      </x:c>
      <x:c r="F284" s="48" t="str">
        <x:v>experiments/results/cade/300/07.22-21.16.04/cade_apigraph_127_warm_lr0.0001_adam_cosine_1_e100_wlr5e-05_we50_mwlr5e-05_mwe50_test_2013-01_2018-12_cnt300.csv</x:v>
      </x:c>
    </x:row>
    <x:row r="285" ht="20" customHeight="1">
      <x:c r="A285" s="27" t="str">
        <x:v>CADE</x:v>
      </x:c>
      <x:c r="B285" s="30" t="str">
        <x:v>2018-05</x:v>
      </x:c>
      <x:c r="C285" s="40" t="n">
        <x:v>300</x:v>
      </x:c>
      <x:c r="D285" s="41" t="n">
        <x:v>0.7042</x:v>
      </x:c>
      <x:c r="E285" s="41" t="n">
        <x:v>0.0702</x:v>
      </x:c>
      <x:c r="F285" s="48" t="str">
        <x:v>experiments/results/cade/300/07.22-21.16.04/cade_apigraph_127_warm_lr0.0001_adam_cosine_1_e100_wlr5e-05_we50_mwlr5e-05_mwe50_test_2013-01_2018-12_cnt300.csv</x:v>
      </x:c>
    </x:row>
    <x:row r="286" ht="20" customHeight="1">
      <x:c r="A286" s="27" t="str">
        <x:v>CADE</x:v>
      </x:c>
      <x:c r="B286" s="30" t="str">
        <x:v>2018-06</x:v>
      </x:c>
      <x:c r="C286" s="40" t="n">
        <x:v>300</x:v>
      </x:c>
      <x:c r="D286" s="41" t="n">
        <x:v>0.8957</x:v>
      </x:c>
      <x:c r="E286" s="41" t="n">
        <x:v>0.1464</x:v>
      </x:c>
      <x:c r="F286" s="48" t="str">
        <x:v>experiments/results/cade/300/07.22-21.16.04/cade_apigraph_127_warm_lr0.0001_adam_cosine_1_e100_wlr5e-05_we50_mwlr5e-05_mwe50_test_2013-01_2018-12_cnt300.csv</x:v>
      </x:c>
    </x:row>
    <x:row r="287" ht="20" customHeight="1">
      <x:c r="A287" s="27" t="str">
        <x:v>CADE</x:v>
      </x:c>
      <x:c r="B287" s="30" t="str">
        <x:v>2018-07</x:v>
      </x:c>
      <x:c r="C287" s="40" t="n">
        <x:v>300</x:v>
      </x:c>
      <x:c r="D287" s="41" t="n">
        <x:v>0.8946</x:v>
      </x:c>
      <x:c r="E287" s="41" t="n">
        <x:v>0.1475</x:v>
      </x:c>
      <x:c r="F287" s="48" t="str">
        <x:v>experiments/results/cade/300/07.22-21.16.04/cade_apigraph_127_warm_lr0.0001_adam_cosine_1_e100_wlr5e-05_we50_mwlr5e-05_mwe50_test_2013-01_2018-12_cnt300.csv</x:v>
      </x:c>
    </x:row>
    <x:row r="288" ht="20" customHeight="1">
      <x:c r="A288" s="27" t="str">
        <x:v>CADE</x:v>
      </x:c>
      <x:c r="B288" s="30" t="str">
        <x:v>2018-08</x:v>
      </x:c>
      <x:c r="C288" s="40" t="n">
        <x:v>300</x:v>
      </x:c>
      <x:c r="D288" s="41" t="n">
        <x:v>0.8951</x:v>
      </x:c>
      <x:c r="E288" s="41" t="n">
        <x:v>0.1203</x:v>
      </x:c>
      <x:c r="F288" s="48" t="str">
        <x:v>experiments/results/cade/300/07.22-21.16.04/cade_apigraph_127_warm_lr0.0001_adam_cosine_1_e100_wlr5e-05_we50_mwlr5e-05_mwe50_test_2013-01_2018-12_cnt300.csv</x:v>
      </x:c>
    </x:row>
    <x:row r="289" ht="20" customHeight="1">
      <x:c r="A289" s="27" t="str">
        <x:v>CADE</x:v>
      </x:c>
      <x:c r="B289" s="30" t="str">
        <x:v>2018-09</x:v>
      </x:c>
      <x:c r="C289" s="40" t="n">
        <x:v>300</x:v>
      </x:c>
      <x:c r="D289" s="41" t="n">
        <x:v>0.8799</x:v>
      </x:c>
      <x:c r="E289" s="41" t="n">
        <x:v>0.1441</x:v>
      </x:c>
      <x:c r="F289" s="48" t="str">
        <x:v>experiments/results/cade/300/07.22-21.16.04/cade_apigraph_127_warm_lr0.0001_adam_cosine_1_e100_wlr5e-05_we50_mwlr5e-05_mwe50_test_2013-01_2018-12_cnt300.csv</x:v>
      </x:c>
    </x:row>
    <x:row r="290" ht="20" customHeight="1">
      <x:c r="A290" s="27" t="str">
        <x:v>CADE</x:v>
      </x:c>
      <x:c r="B290" s="30" t="str">
        <x:v>2018-10</x:v>
      </x:c>
      <x:c r="C290" s="40" t="n">
        <x:v>300</x:v>
      </x:c>
      <x:c r="D290" s="41" t="n">
        <x:v>0.8824</x:v>
      </x:c>
      <x:c r="E290" s="41" t="n">
        <x:v>0.1704</x:v>
      </x:c>
      <x:c r="F290" s="48" t="str">
        <x:v>experiments/results/cade/300/07.22-21.16.04/cade_apigraph_127_warm_lr0.0001_adam_cosine_1_e100_wlr5e-05_we50_mwlr5e-05_mwe50_test_2013-01_2018-12_cnt300.csv</x:v>
      </x:c>
    </x:row>
    <x:row r="291" ht="20" customHeight="1">
      <x:c r="A291" s="27" t="str">
        <x:v>CADE</x:v>
      </x:c>
      <x:c r="B291" s="30" t="str">
        <x:v>2018-11</x:v>
      </x:c>
      <x:c r="C291" s="40" t="n">
        <x:v>300</x:v>
      </x:c>
      <x:c r="D291" s="41" t="n">
        <x:v>0.9324</x:v>
      </x:c>
      <x:c r="E291" s="41" t="n">
        <x:v>0.0627</x:v>
      </x:c>
      <x:c r="F291" s="48" t="str">
        <x:v>experiments/results/cade/300/07.22-21.16.04/cade_apigraph_127_warm_lr0.0001_adam_cosine_1_e100_wlr5e-05_we50_mwlr5e-05_mwe50_test_2013-01_2018-12_cnt300.csv</x:v>
      </x:c>
    </x:row>
    <x:row r="292" ht="20" customHeight="1">
      <x:c r="A292" s="27" t="str">
        <x:v>CADE</x:v>
      </x:c>
      <x:c r="B292" s="30" t="str">
        <x:v>2018-12</x:v>
      </x:c>
      <x:c r="C292" s="40" t="n">
        <x:v>300</x:v>
      </x:c>
      <x:c r="D292" s="41" t="n">
        <x:v>0.9524</x:v>
      </x:c>
      <x:c r="E292" s="41" t="n">
        <x:v>0.0155</x:v>
      </x:c>
      <x:c r="F292" s="48" t="str">
        <x:v>experiments/results/cade/300/07.22-21.16.04/cade_apigraph_127_warm_lr0.0001_adam_cosine_1_e100_wlr5e-05_we50_mwlr5e-05_mwe50_test_2013-01_2018-12_cnt300.csv</x:v>
      </x:c>
    </x:row>
    <x:row r="293" ht="20" customHeight="1">
      <x:c r="A293" s="27" t="str">
        <x:v>CADE-IDS</x:v>
      </x:c>
      <x:c r="B293" s="30" t="str">
        <x:v>2013-01</x:v>
      </x:c>
      <x:c r="C293" s="40" t="n">
        <x:v>50</x:v>
      </x:c>
      <x:c r="D293" s="41" t="n">
        <x:v>0.9558</x:v>
      </x:c>
      <x:c r="E293" s="41" t="n">
        <x:v>0.026</x:v>
      </x:c>
      <x:c r="F293" s="48" t="str">
        <x:v>experiments/results/cade_ids/50/07.21-11.31.19/cade_ids_apigraph_cnt50_127_seed1_test_2013-01_2018-12.csv</x:v>
      </x:c>
    </x:row>
    <x:row r="294" ht="20" customHeight="1">
      <x:c r="A294" s="27" t="str">
        <x:v>CADE-IDS</x:v>
      </x:c>
      <x:c r="B294" s="30" t="str">
        <x:v>2013-02</x:v>
      </x:c>
      <x:c r="C294" s="40" t="n">
        <x:v>50</x:v>
      </x:c>
      <x:c r="D294" s="41" t="n">
        <x:v>0.8885</x:v>
      </x:c>
      <x:c r="E294" s="41" t="n">
        <x:v>0.1656</x:v>
      </x:c>
      <x:c r="F294" s="48" t="str">
        <x:v>experiments/results/cade_ids/50/07.21-11.31.19/cade_ids_apigraph_cnt50_127_seed1_test_2013-01_2018-12.csv</x:v>
      </x:c>
    </x:row>
    <x:row r="295" ht="20" customHeight="1">
      <x:c r="A295" s="27" t="str">
        <x:v>CADE-IDS</x:v>
      </x:c>
      <x:c r="B295" s="30" t="str">
        <x:v>2013-03</x:v>
      </x:c>
      <x:c r="C295" s="40" t="n">
        <x:v>50</x:v>
      </x:c>
      <x:c r="D295" s="41" t="n">
        <x:v>0.8847</x:v>
      </x:c>
      <x:c r="E295" s="41" t="n">
        <x:v>0.1573</x:v>
      </x:c>
      <x:c r="F295" s="48" t="str">
        <x:v>experiments/results/cade_ids/50/07.21-11.31.19/cade_ids_apigraph_cnt50_127_seed1_test_2013-01_2018-12.csv</x:v>
      </x:c>
    </x:row>
    <x:row r="296" ht="20" customHeight="1">
      <x:c r="A296" s="27" t="str">
        <x:v>CADE-IDS</x:v>
      </x:c>
      <x:c r="B296" s="30" t="str">
        <x:v>2013-04</x:v>
      </x:c>
      <x:c r="C296" s="40" t="n">
        <x:v>50</x:v>
      </x:c>
      <x:c r="D296" s="41" t="n">
        <x:v>0.9186</x:v>
      </x:c>
      <x:c r="E296" s="41" t="n">
        <x:v>0.1157</x:v>
      </x:c>
      <x:c r="F296" s="48" t="str">
        <x:v>experiments/results/cade_ids/50/07.21-11.31.19/cade_ids_apigraph_cnt50_127_seed1_test_2013-01_2018-12.csv</x:v>
      </x:c>
    </x:row>
    <x:row r="297" ht="20" customHeight="1">
      <x:c r="A297" s="27" t="str">
        <x:v>CADE-IDS</x:v>
      </x:c>
      <x:c r="B297" s="30" t="str">
        <x:v>2013-05</x:v>
      </x:c>
      <x:c r="C297" s="40" t="n">
        <x:v>50</x:v>
      </x:c>
      <x:c r="D297" s="41" t="n">
        <x:v>0.9024</x:v>
      </x:c>
      <x:c r="E297" s="41" t="n">
        <x:v>0.1369</x:v>
      </x:c>
      <x:c r="F297" s="48" t="str">
        <x:v>experiments/results/cade_ids/50/07.21-11.31.19/cade_ids_apigraph_cnt50_127_seed1_test_2013-01_2018-12.csv</x:v>
      </x:c>
    </x:row>
    <x:row r="298" ht="20" customHeight="1">
      <x:c r="A298" s="27" t="str">
        <x:v>CADE-IDS</x:v>
      </x:c>
      <x:c r="B298" s="30" t="str">
        <x:v>2013-06</x:v>
      </x:c>
      <x:c r="C298" s="40" t="n">
        <x:v>50</x:v>
      </x:c>
      <x:c r="D298" s="41" t="n">
        <x:v>0.8953</x:v>
      </x:c>
      <x:c r="E298" s="41" t="n">
        <x:v>0.1272</x:v>
      </x:c>
      <x:c r="F298" s="48" t="str">
        <x:v>experiments/results/cade_ids/50/07.21-11.31.19/cade_ids_apigraph_cnt50_127_seed1_test_2013-01_2018-12.csv</x:v>
      </x:c>
    </x:row>
    <x:row r="299" ht="20" customHeight="1">
      <x:c r="A299" s="27" t="str">
        <x:v>CADE-IDS</x:v>
      </x:c>
      <x:c r="B299" s="30" t="str">
        <x:v>2013-07</x:v>
      </x:c>
      <x:c r="C299" s="40" t="n">
        <x:v>50</x:v>
      </x:c>
      <x:c r="D299" s="41" t="n">
        <x:v>0.8921</x:v>
      </x:c>
      <x:c r="E299" s="41" t="n">
        <x:v>0.1344</x:v>
      </x:c>
      <x:c r="F299" s="48" t="str">
        <x:v>experiments/results/cade_ids/50/07.21-11.31.19/cade_ids_apigraph_cnt50_127_seed1_test_2013-01_2018-12.csv</x:v>
      </x:c>
    </x:row>
    <x:row r="300" ht="20" customHeight="1">
      <x:c r="A300" s="27" t="str">
        <x:v>CADE-IDS</x:v>
      </x:c>
      <x:c r="B300" s="30" t="str">
        <x:v>2013-08</x:v>
      </x:c>
      <x:c r="C300" s="40" t="n">
        <x:v>50</x:v>
      </x:c>
      <x:c r="D300" s="41" t="n">
        <x:v>0.8898</x:v>
      </x:c>
      <x:c r="E300" s="41" t="n">
        <x:v>0.1157</x:v>
      </x:c>
      <x:c r="F300" s="48" t="str">
        <x:v>experiments/results/cade_ids/50/07.21-11.31.19/cade_ids_apigraph_cnt50_127_seed1_test_2013-01_2018-12.csv</x:v>
      </x:c>
    </x:row>
    <x:row r="301" ht="20" customHeight="1">
      <x:c r="A301" s="27" t="str">
        <x:v>CADE-IDS</x:v>
      </x:c>
      <x:c r="B301" s="30" t="str">
        <x:v>2013-09</x:v>
      </x:c>
      <x:c r="C301" s="40" t="n">
        <x:v>50</x:v>
      </x:c>
      <x:c r="D301" s="41" t="n">
        <x:v>0.8745</x:v>
      </x:c>
      <x:c r="E301" s="41" t="n">
        <x:v>0.136</x:v>
      </x:c>
      <x:c r="F301" s="48" t="str">
        <x:v>experiments/results/cade_ids/50/07.21-11.31.19/cade_ids_apigraph_cnt50_127_seed1_test_2013-01_2018-12.csv</x:v>
      </x:c>
    </x:row>
    <x:row r="302" ht="20" customHeight="1">
      <x:c r="A302" s="27" t="str">
        <x:v>CADE-IDS</x:v>
      </x:c>
      <x:c r="B302" s="30" t="str">
        <x:v>2013-10</x:v>
      </x:c>
      <x:c r="C302" s="40" t="n">
        <x:v>50</x:v>
      </x:c>
      <x:c r="D302" s="41" t="n">
        <x:v>0.8494</x:v>
      </x:c>
      <x:c r="E302" s="41" t="n">
        <x:v>0.1864</x:v>
      </x:c>
      <x:c r="F302" s="48" t="str">
        <x:v>experiments/results/cade_ids/50/07.21-11.31.19/cade_ids_apigraph_cnt50_127_seed1_test_2013-01_2018-12.csv</x:v>
      </x:c>
    </x:row>
    <x:row r="303" ht="20" customHeight="1">
      <x:c r="A303" s="27" t="str">
        <x:v>CADE-IDS</x:v>
      </x:c>
      <x:c r="B303" s="30" t="str">
        <x:v>2013-11</x:v>
      </x:c>
      <x:c r="C303" s="40" t="n">
        <x:v>50</x:v>
      </x:c>
      <x:c r="D303" s="41" t="n">
        <x:v>0.8553</x:v>
      </x:c>
      <x:c r="E303" s="41" t="n">
        <x:v>0.1879</x:v>
      </x:c>
      <x:c r="F303" s="48" t="str">
        <x:v>experiments/results/cade_ids/50/07.21-11.31.19/cade_ids_apigraph_cnt50_127_seed1_test_2013-01_2018-12.csv</x:v>
      </x:c>
    </x:row>
    <x:row r="304" ht="20" customHeight="1">
      <x:c r="A304" s="27" t="str">
        <x:v>CADE-IDS</x:v>
      </x:c>
      <x:c r="B304" s="30" t="str">
        <x:v>2013-12</x:v>
      </x:c>
      <x:c r="C304" s="40" t="n">
        <x:v>50</x:v>
      </x:c>
      <x:c r="D304" s="41" t="n">
        <x:v>0.8712</x:v>
      </x:c>
      <x:c r="E304" s="41" t="n">
        <x:v>0.1864</x:v>
      </x:c>
      <x:c r="F304" s="48" t="str">
        <x:v>experiments/results/cade_ids/50/07.21-11.31.19/cade_ids_apigraph_cnt50_127_seed1_test_2013-01_2018-12.csv</x:v>
      </x:c>
    </x:row>
    <x:row r="305" ht="20" customHeight="1">
      <x:c r="A305" s="27" t="str">
        <x:v>CADE-IDS</x:v>
      </x:c>
      <x:c r="B305" s="30" t="str">
        <x:v>2014-01</x:v>
      </x:c>
      <x:c r="C305" s="40" t="n">
        <x:v>50</x:v>
      </x:c>
      <x:c r="D305" s="41" t="n">
        <x:v>0.8123</x:v>
      </x:c>
      <x:c r="E305" s="41" t="n">
        <x:v>0.2231</x:v>
      </x:c>
      <x:c r="F305" s="48" t="str">
        <x:v>experiments/results/cade_ids/50/07.21-11.31.19/cade_ids_apigraph_cnt50_127_seed1_test_2013-01_2018-12.csv</x:v>
      </x:c>
    </x:row>
    <x:row r="306" ht="20" customHeight="1">
      <x:c r="A306" s="27" t="str">
        <x:v>CADE-IDS</x:v>
      </x:c>
      <x:c r="B306" s="30" t="str">
        <x:v>2014-02</x:v>
      </x:c>
      <x:c r="C306" s="40" t="n">
        <x:v>50</x:v>
      </x:c>
      <x:c r="D306" s="41" t="n">
        <x:v>0.8796</x:v>
      </x:c>
      <x:c r="E306" s="41" t="n">
        <x:v>0.1071</x:v>
      </x:c>
      <x:c r="F306" s="48" t="str">
        <x:v>experiments/results/cade_ids/50/07.21-11.31.19/cade_ids_apigraph_cnt50_127_seed1_test_2013-01_2018-12.csv</x:v>
      </x:c>
    </x:row>
    <x:row r="307" ht="20" customHeight="1">
      <x:c r="A307" s="27" t="str">
        <x:v>CADE-IDS</x:v>
      </x:c>
      <x:c r="B307" s="30" t="str">
        <x:v>2014-03</x:v>
      </x:c>
      <x:c r="C307" s="40" t="n">
        <x:v>50</x:v>
      </x:c>
      <x:c r="D307" s="41" t="n">
        <x:v>0.8236</x:v>
      </x:c>
      <x:c r="E307" s="41" t="n">
        <x:v>0.1397</x:v>
      </x:c>
      <x:c r="F307" s="48" t="str">
        <x:v>experiments/results/cade_ids/50/07.21-11.31.19/cade_ids_apigraph_cnt50_127_seed1_test_2013-01_2018-12.csv</x:v>
      </x:c>
    </x:row>
    <x:row r="308" ht="20" customHeight="1">
      <x:c r="A308" s="27" t="str">
        <x:v>CADE-IDS</x:v>
      </x:c>
      <x:c r="B308" s="30" t="str">
        <x:v>2014-04</x:v>
      </x:c>
      <x:c r="C308" s="40" t="n">
        <x:v>50</x:v>
      </x:c>
      <x:c r="D308" s="41" t="n">
        <x:v>0.8194</x:v>
      </x:c>
      <x:c r="E308" s="41" t="n">
        <x:v>0.175</x:v>
      </x:c>
      <x:c r="F308" s="48" t="str">
        <x:v>experiments/results/cade_ids/50/07.21-11.31.19/cade_ids_apigraph_cnt50_127_seed1_test_2013-01_2018-12.csv</x:v>
      </x:c>
    </x:row>
    <x:row r="309" ht="20" customHeight="1">
      <x:c r="A309" s="27" t="str">
        <x:v>CADE-IDS</x:v>
      </x:c>
      <x:c r="B309" s="30" t="str">
        <x:v>2014-05</x:v>
      </x:c>
      <x:c r="C309" s="40" t="n">
        <x:v>50</x:v>
      </x:c>
      <x:c r="D309" s="41" t="n">
        <x:v>0.8327</x:v>
      </x:c>
      <x:c r="E309" s="41" t="n">
        <x:v>0.1288</x:v>
      </x:c>
      <x:c r="F309" s="48" t="str">
        <x:v>experiments/results/cade_ids/50/07.21-11.31.19/cade_ids_apigraph_cnt50_127_seed1_test_2013-01_2018-12.csv</x:v>
      </x:c>
    </x:row>
    <x:row r="310" ht="20" customHeight="1">
      <x:c r="A310" s="27" t="str">
        <x:v>CADE-IDS</x:v>
      </x:c>
      <x:c r="B310" s="30" t="str">
        <x:v>2014-06</x:v>
      </x:c>
      <x:c r="C310" s="40" t="n">
        <x:v>50</x:v>
      </x:c>
      <x:c r="D310" s="41" t="n">
        <x:v>0.7368</x:v>
      </x:c>
      <x:c r="E310" s="41" t="n">
        <x:v>0.3394</x:v>
      </x:c>
      <x:c r="F310" s="48" t="str">
        <x:v>experiments/results/cade_ids/50/07.21-11.31.19/cade_ids_apigraph_cnt50_127_seed1_test_2013-01_2018-12.csv</x:v>
      </x:c>
    </x:row>
    <x:row r="311" ht="20" customHeight="1">
      <x:c r="A311" s="27" t="str">
        <x:v>CADE-IDS</x:v>
      </x:c>
      <x:c r="B311" s="30" t="str">
        <x:v>2014-07</x:v>
      </x:c>
      <x:c r="C311" s="40" t="n">
        <x:v>50</x:v>
      </x:c>
      <x:c r="D311" s="41" t="n">
        <x:v>0.7585</x:v>
      </x:c>
      <x:c r="E311" s="41" t="n">
        <x:v>0.3106</x:v>
      </x:c>
      <x:c r="F311" s="48" t="str">
        <x:v>experiments/results/cade_ids/50/07.21-11.31.19/cade_ids_apigraph_cnt50_127_seed1_test_2013-01_2018-12.csv</x:v>
      </x:c>
    </x:row>
    <x:row r="312" ht="20" customHeight="1">
      <x:c r="A312" s="27" t="str">
        <x:v>CADE-IDS</x:v>
      </x:c>
      <x:c r="B312" s="30" t="str">
        <x:v>2014-08</x:v>
      </x:c>
      <x:c r="C312" s="40" t="n">
        <x:v>50</x:v>
      </x:c>
      <x:c r="D312" s="41" t="n">
        <x:v>0.7316</x:v>
      </x:c>
      <x:c r="E312" s="41" t="n">
        <x:v>0.3488</x:v>
      </x:c>
      <x:c r="F312" s="48" t="str">
        <x:v>experiments/results/cade_ids/50/07.21-11.31.19/cade_ids_apigraph_cnt50_127_seed1_test_2013-01_2018-12.csv</x:v>
      </x:c>
    </x:row>
    <x:row r="313" ht="20" customHeight="1">
      <x:c r="A313" s="27" t="str">
        <x:v>CADE-IDS</x:v>
      </x:c>
      <x:c r="B313" s="30" t="str">
        <x:v>2014-09</x:v>
      </x:c>
      <x:c r="C313" s="40" t="n">
        <x:v>50</x:v>
      </x:c>
      <x:c r="D313" s="41" t="n">
        <x:v>0.7696</x:v>
      </x:c>
      <x:c r="E313" s="41" t="n">
        <x:v>0.3033</x:v>
      </x:c>
      <x:c r="F313" s="48" t="str">
        <x:v>experiments/results/cade_ids/50/07.21-11.31.19/cade_ids_apigraph_cnt50_127_seed1_test_2013-01_2018-12.csv</x:v>
      </x:c>
    </x:row>
    <x:row r="314" ht="20" customHeight="1">
      <x:c r="A314" s="27" t="str">
        <x:v>CADE-IDS</x:v>
      </x:c>
      <x:c r="B314" s="30" t="str">
        <x:v>2014-10</x:v>
      </x:c>
      <x:c r="C314" s="40" t="n">
        <x:v>50</x:v>
      </x:c>
      <x:c r="D314" s="41" t="n">
        <x:v>0.6833</x:v>
      </x:c>
      <x:c r="E314" s="41" t="n">
        <x:v>0.4397</x:v>
      </x:c>
      <x:c r="F314" s="48" t="str">
        <x:v>experiments/results/cade_ids/50/07.21-11.31.19/cade_ids_apigraph_cnt50_127_seed1_test_2013-01_2018-12.csv</x:v>
      </x:c>
    </x:row>
    <x:row r="315" ht="20" customHeight="1">
      <x:c r="A315" s="27" t="str">
        <x:v>CADE-IDS</x:v>
      </x:c>
      <x:c r="B315" s="30" t="str">
        <x:v>2014-11</x:v>
      </x:c>
      <x:c r="C315" s="40" t="n">
        <x:v>50</x:v>
      </x:c>
      <x:c r="D315" s="41" t="n">
        <x:v>0.7703</x:v>
      </x:c>
      <x:c r="E315" s="41" t="n">
        <x:v>0.3266</x:v>
      </x:c>
      <x:c r="F315" s="48" t="str">
        <x:v>experiments/results/cade_ids/50/07.21-11.31.19/cade_ids_apigraph_cnt50_127_seed1_test_2013-01_2018-12.csv</x:v>
      </x:c>
    </x:row>
    <x:row r="316" ht="20" customHeight="1">
      <x:c r="A316" s="27" t="str">
        <x:v>CADE-IDS</x:v>
      </x:c>
      <x:c r="B316" s="30" t="str">
        <x:v>2014-12</x:v>
      </x:c>
      <x:c r="C316" s="40" t="n">
        <x:v>50</x:v>
      </x:c>
      <x:c r="D316" s="41" t="n">
        <x:v>0.7874</x:v>
      </x:c>
      <x:c r="E316" s="41" t="n">
        <x:v>0.2901</x:v>
      </x:c>
      <x:c r="F316" s="48" t="str">
        <x:v>experiments/results/cade_ids/50/07.21-11.31.19/cade_ids_apigraph_cnt50_127_seed1_test_2013-01_2018-12.csv</x:v>
      </x:c>
    </x:row>
    <x:row r="317" ht="20" customHeight="1">
      <x:c r="A317" s="27" t="str">
        <x:v>CADE-IDS</x:v>
      </x:c>
      <x:c r="B317" s="30" t="str">
        <x:v>2015-01</x:v>
      </x:c>
      <x:c r="C317" s="40" t="n">
        <x:v>50</x:v>
      </x:c>
      <x:c r="D317" s="41" t="n">
        <x:v>0.8167</x:v>
      </x:c>
      <x:c r="E317" s="41" t="n">
        <x:v>0.2636</x:v>
      </x:c>
      <x:c r="F317" s="48" t="str">
        <x:v>experiments/results/cade_ids/50/07.21-11.31.19/cade_ids_apigraph_cnt50_127_seed1_test_2013-01_2018-12.csv</x:v>
      </x:c>
    </x:row>
    <x:row r="318" ht="20" customHeight="1">
      <x:c r="A318" s="27" t="str">
        <x:v>CADE-IDS</x:v>
      </x:c>
      <x:c r="B318" s="30" t="str">
        <x:v>2015-02</x:v>
      </x:c>
      <x:c r="C318" s="40" t="n">
        <x:v>50</x:v>
      </x:c>
      <x:c r="D318" s="41" t="n">
        <x:v>0.8728</x:v>
      </x:c>
      <x:c r="E318" s="41" t="n">
        <x:v>0.1743</x:v>
      </x:c>
      <x:c r="F318" s="48" t="str">
        <x:v>experiments/results/cade_ids/50/07.21-11.31.19/cade_ids_apigraph_cnt50_127_seed1_test_2013-01_2018-12.csv</x:v>
      </x:c>
    </x:row>
    <x:row r="319" ht="20" customHeight="1">
      <x:c r="A319" s="27" t="str">
        <x:v>CADE-IDS</x:v>
      </x:c>
      <x:c r="B319" s="30" t="str">
        <x:v>2015-03</x:v>
      </x:c>
      <x:c r="C319" s="40" t="n">
        <x:v>50</x:v>
      </x:c>
      <x:c r="D319" s="41" t="n">
        <x:v>0.8339</x:v>
      </x:c>
      <x:c r="E319" s="41" t="n">
        <x:v>0.259</x:v>
      </x:c>
      <x:c r="F319" s="48" t="str">
        <x:v>experiments/results/cade_ids/50/07.21-11.31.19/cade_ids_apigraph_cnt50_127_seed1_test_2013-01_2018-12.csv</x:v>
      </x:c>
    </x:row>
    <x:row r="320" ht="20" customHeight="1">
      <x:c r="A320" s="27" t="str">
        <x:v>CADE-IDS</x:v>
      </x:c>
      <x:c r="B320" s="30" t="str">
        <x:v>2015-04</x:v>
      </x:c>
      <x:c r="C320" s="40" t="n">
        <x:v>50</x:v>
      </x:c>
      <x:c r="D320" s="41" t="n">
        <x:v>0.8712</x:v>
      </x:c>
      <x:c r="E320" s="41" t="n">
        <x:v>0.182</x:v>
      </x:c>
      <x:c r="F320" s="48" t="str">
        <x:v>experiments/results/cade_ids/50/07.21-11.31.19/cade_ids_apigraph_cnt50_127_seed1_test_2013-01_2018-12.csv</x:v>
      </x:c>
    </x:row>
    <x:row r="321" ht="20" customHeight="1">
      <x:c r="A321" s="27" t="str">
        <x:v>CADE-IDS</x:v>
      </x:c>
      <x:c r="B321" s="30" t="str">
        <x:v>2015-05</x:v>
      </x:c>
      <x:c r="C321" s="40" t="n">
        <x:v>50</x:v>
      </x:c>
      <x:c r="D321" s="41" t="n">
        <x:v>0.8695</x:v>
      </x:c>
      <x:c r="E321" s="41" t="n">
        <x:v>0.205</x:v>
      </x:c>
      <x:c r="F321" s="48" t="str">
        <x:v>experiments/results/cade_ids/50/07.21-11.31.19/cade_ids_apigraph_cnt50_127_seed1_test_2013-01_2018-12.csv</x:v>
      </x:c>
    </x:row>
    <x:row r="322" ht="20" customHeight="1">
      <x:c r="A322" s="27" t="str">
        <x:v>CADE-IDS</x:v>
      </x:c>
      <x:c r="B322" s="30" t="str">
        <x:v>2015-06</x:v>
      </x:c>
      <x:c r="C322" s="40" t="n">
        <x:v>50</x:v>
      </x:c>
      <x:c r="D322" s="41" t="n">
        <x:v>0.8526</x:v>
      </x:c>
      <x:c r="E322" s="41" t="n">
        <x:v>0.2407</x:v>
      </x:c>
      <x:c r="F322" s="48" t="str">
        <x:v>experiments/results/cade_ids/50/07.21-11.31.19/cade_ids_apigraph_cnt50_127_seed1_test_2013-01_2018-12.csv</x:v>
      </x:c>
    </x:row>
    <x:row r="323" ht="20" customHeight="1">
      <x:c r="A323" s="27" t="str">
        <x:v>CADE-IDS</x:v>
      </x:c>
      <x:c r="B323" s="30" t="str">
        <x:v>2015-07</x:v>
      </x:c>
      <x:c r="C323" s="40" t="n">
        <x:v>50</x:v>
      </x:c>
      <x:c r="D323" s="41" t="n">
        <x:v>0.8475</x:v>
      </x:c>
      <x:c r="E323" s="41" t="n">
        <x:v>0.2369</x:v>
      </x:c>
      <x:c r="F323" s="48" t="str">
        <x:v>experiments/results/cade_ids/50/07.21-11.31.19/cade_ids_apigraph_cnt50_127_seed1_test_2013-01_2018-12.csv</x:v>
      </x:c>
    </x:row>
    <x:row r="324" ht="20" customHeight="1">
      <x:c r="A324" s="27" t="str">
        <x:v>CADE-IDS</x:v>
      </x:c>
      <x:c r="B324" s="30" t="str">
        <x:v>2015-08</x:v>
      </x:c>
      <x:c r="C324" s="40" t="n">
        <x:v>50</x:v>
      </x:c>
      <x:c r="D324" s="41" t="n">
        <x:v>0.9014</x:v>
      </x:c>
      <x:c r="E324" s="41" t="n">
        <x:v>0.1634</x:v>
      </x:c>
      <x:c r="F324" s="48" t="str">
        <x:v>experiments/results/cade_ids/50/07.21-11.31.19/cade_ids_apigraph_cnt50_127_seed1_test_2013-01_2018-12.csv</x:v>
      </x:c>
    </x:row>
    <x:row r="325" ht="20" customHeight="1">
      <x:c r="A325" s="27" t="str">
        <x:v>CADE-IDS</x:v>
      </x:c>
      <x:c r="B325" s="30" t="str">
        <x:v>2015-09</x:v>
      </x:c>
      <x:c r="C325" s="40" t="n">
        <x:v>50</x:v>
      </x:c>
      <x:c r="D325" s="41" t="n">
        <x:v>0.7817</x:v>
      </x:c>
      <x:c r="E325" s="41" t="n">
        <x:v>0.3278</x:v>
      </x:c>
      <x:c r="F325" s="48" t="str">
        <x:v>experiments/results/cade_ids/50/07.21-11.31.19/cade_ids_apigraph_cnt50_127_seed1_test_2013-01_2018-12.csv</x:v>
      </x:c>
    </x:row>
    <x:row r="326" ht="20" customHeight="1">
      <x:c r="A326" s="27" t="str">
        <x:v>CADE-IDS</x:v>
      </x:c>
      <x:c r="B326" s="30" t="str">
        <x:v>2015-10</x:v>
      </x:c>
      <x:c r="C326" s="40" t="n">
        <x:v>50</x:v>
      </x:c>
      <x:c r="D326" s="41" t="n">
        <x:v>0.7154</x:v>
      </x:c>
      <x:c r="E326" s="41" t="n">
        <x:v>0.4126</x:v>
      </x:c>
      <x:c r="F326" s="48" t="str">
        <x:v>experiments/results/cade_ids/50/07.21-11.31.19/cade_ids_apigraph_cnt50_127_seed1_test_2013-01_2018-12.csv</x:v>
      </x:c>
    </x:row>
    <x:row r="327" ht="20" customHeight="1">
      <x:c r="A327" s="27" t="str">
        <x:v>CADE-IDS</x:v>
      </x:c>
      <x:c r="B327" s="30" t="str">
        <x:v>2015-11</x:v>
      </x:c>
      <x:c r="C327" s="40" t="n">
        <x:v>50</x:v>
      </x:c>
      <x:c r="D327" s="41" t="n">
        <x:v>0.8382</x:v>
      </x:c>
      <x:c r="E327" s="41" t="n">
        <x:v>0.2623</x:v>
      </x:c>
      <x:c r="F327" s="48" t="str">
        <x:v>experiments/results/cade_ids/50/07.21-11.31.19/cade_ids_apigraph_cnt50_127_seed1_test_2013-01_2018-12.csv</x:v>
      </x:c>
    </x:row>
    <x:row r="328" ht="20" customHeight="1">
      <x:c r="A328" s="27" t="str">
        <x:v>CADE-IDS</x:v>
      </x:c>
      <x:c r="B328" s="30" t="str">
        <x:v>2015-12</x:v>
      </x:c>
      <x:c r="C328" s="40" t="n">
        <x:v>50</x:v>
      </x:c>
      <x:c r="D328" s="41" t="n">
        <x:v>0.8777</x:v>
      </x:c>
      <x:c r="E328" s="41" t="n">
        <x:v>0.1642</x:v>
      </x:c>
      <x:c r="F328" s="48" t="str">
        <x:v>experiments/results/cade_ids/50/07.21-11.31.19/cade_ids_apigraph_cnt50_127_seed1_test_2013-01_2018-12.csv</x:v>
      </x:c>
    </x:row>
    <x:row r="329" ht="20" customHeight="1">
      <x:c r="A329" s="27" t="str">
        <x:v>CADE-IDS</x:v>
      </x:c>
      <x:c r="B329" s="30" t="str">
        <x:v>2016-01</x:v>
      </x:c>
      <x:c r="C329" s="40" t="n">
        <x:v>50</x:v>
      </x:c>
      <x:c r="D329" s="41" t="n">
        <x:v>0.8325</x:v>
      </x:c>
      <x:c r="E329" s="41" t="n">
        <x:v>0.2706</x:v>
      </x:c>
      <x:c r="F329" s="48" t="str">
        <x:v>experiments/results/cade_ids/50/07.21-11.31.19/cade_ids_apigraph_cnt50_127_seed1_test_2013-01_2018-12.csv</x:v>
      </x:c>
    </x:row>
    <x:row r="330" ht="20" customHeight="1">
      <x:c r="A330" s="27" t="str">
        <x:v>CADE-IDS</x:v>
      </x:c>
      <x:c r="B330" s="30" t="str">
        <x:v>2016-02</x:v>
      </x:c>
      <x:c r="C330" s="40" t="n">
        <x:v>50</x:v>
      </x:c>
      <x:c r="D330" s="41" t="n">
        <x:v>0.9084</x:v>
      </x:c>
      <x:c r="E330" s="41" t="n">
        <x:v>0.1313</x:v>
      </x:c>
      <x:c r="F330" s="48" t="str">
        <x:v>experiments/results/cade_ids/50/07.21-11.31.19/cade_ids_apigraph_cnt50_127_seed1_test_2013-01_2018-12.csv</x:v>
      </x:c>
    </x:row>
    <x:row r="331" ht="20" customHeight="1">
      <x:c r="A331" s="27" t="str">
        <x:v>CADE-IDS</x:v>
      </x:c>
      <x:c r="B331" s="30" t="str">
        <x:v>2016-03</x:v>
      </x:c>
      <x:c r="C331" s="40" t="n">
        <x:v>50</x:v>
      </x:c>
      <x:c r="D331" s="41" t="n">
        <x:v>0.799</x:v>
      </x:c>
      <x:c r="E331" s="41" t="n">
        <x:v>0.3113</x:v>
      </x:c>
      <x:c r="F331" s="48" t="str">
        <x:v>experiments/results/cade_ids/50/07.21-11.31.19/cade_ids_apigraph_cnt50_127_seed1_test_2013-01_2018-12.csv</x:v>
      </x:c>
    </x:row>
    <x:row r="332" ht="20" customHeight="1">
      <x:c r="A332" s="27" t="str">
        <x:v>CADE-IDS</x:v>
      </x:c>
      <x:c r="B332" s="30" t="str">
        <x:v>2016-04</x:v>
      </x:c>
      <x:c r="C332" s="40" t="n">
        <x:v>50</x:v>
      </x:c>
      <x:c r="D332" s="41" t="n">
        <x:v>0.803</x:v>
      </x:c>
      <x:c r="E332" s="41" t="n">
        <x:v>0.2639</x:v>
      </x:c>
      <x:c r="F332" s="48" t="str">
        <x:v>experiments/results/cade_ids/50/07.21-11.31.19/cade_ids_apigraph_cnt50_127_seed1_test_2013-01_2018-12.csv</x:v>
      </x:c>
    </x:row>
    <x:row r="333" ht="20" customHeight="1">
      <x:c r="A333" s="27" t="str">
        <x:v>CADE-IDS</x:v>
      </x:c>
      <x:c r="B333" s="30" t="str">
        <x:v>2016-05</x:v>
      </x:c>
      <x:c r="C333" s="40" t="n">
        <x:v>50</x:v>
      </x:c>
      <x:c r="D333" s="41" t="n">
        <x:v>0.8949</x:v>
      </x:c>
      <x:c r="E333" s="41" t="n">
        <x:v>0.1614</x:v>
      </x:c>
      <x:c r="F333" s="48" t="str">
        <x:v>experiments/results/cade_ids/50/07.21-11.31.19/cade_ids_apigraph_cnt50_127_seed1_test_2013-01_2018-12.csv</x:v>
      </x:c>
    </x:row>
    <x:row r="334" ht="20" customHeight="1">
      <x:c r="A334" s="27" t="str">
        <x:v>CADE-IDS</x:v>
      </x:c>
      <x:c r="B334" s="30" t="str">
        <x:v>2016-06</x:v>
      </x:c>
      <x:c r="C334" s="40" t="n">
        <x:v>50</x:v>
      </x:c>
      <x:c r="D334" s="41" t="n">
        <x:v>0.8999</x:v>
      </x:c>
      <x:c r="E334" s="41" t="n">
        <x:v>0.1321</x:v>
      </x:c>
      <x:c r="F334" s="48" t="str">
        <x:v>experiments/results/cade_ids/50/07.21-11.31.19/cade_ids_apigraph_cnt50_127_seed1_test_2013-01_2018-12.csv</x:v>
      </x:c>
    </x:row>
    <x:row r="335" ht="20" customHeight="1">
      <x:c r="A335" s="27" t="str">
        <x:v>CADE-IDS</x:v>
      </x:c>
      <x:c r="B335" s="30" t="str">
        <x:v>2016-07</x:v>
      </x:c>
      <x:c r="C335" s="40" t="n">
        <x:v>50</x:v>
      </x:c>
      <x:c r="D335" s="41" t="n">
        <x:v>0.8913</x:v>
      </x:c>
      <x:c r="E335" s="41" t="n">
        <x:v>0.1476</x:v>
      </x:c>
      <x:c r="F335" s="48" t="str">
        <x:v>experiments/results/cade_ids/50/07.21-11.31.19/cade_ids_apigraph_cnt50_127_seed1_test_2013-01_2018-12.csv</x:v>
      </x:c>
    </x:row>
    <x:row r="336" ht="20" customHeight="1">
      <x:c r="A336" s="27" t="str">
        <x:v>CADE-IDS</x:v>
      </x:c>
      <x:c r="B336" s="30" t="str">
        <x:v>2016-08</x:v>
      </x:c>
      <x:c r="C336" s="40" t="n">
        <x:v>50</x:v>
      </x:c>
      <x:c r="D336" s="41" t="n">
        <x:v>0.8834</x:v>
      </x:c>
      <x:c r="E336" s="41" t="n">
        <x:v>0.1308</x:v>
      </x:c>
      <x:c r="F336" s="48" t="str">
        <x:v>experiments/results/cade_ids/50/07.21-11.31.19/cade_ids_apigraph_cnt50_127_seed1_test_2013-01_2018-12.csv</x:v>
      </x:c>
    </x:row>
    <x:row r="337" ht="20" customHeight="1">
      <x:c r="A337" s="27" t="str">
        <x:v>CADE-IDS</x:v>
      </x:c>
      <x:c r="B337" s="30" t="str">
        <x:v>2016-09</x:v>
      </x:c>
      <x:c r="C337" s="40" t="n">
        <x:v>50</x:v>
      </x:c>
      <x:c r="D337" s="41" t="n">
        <x:v>0.8357</x:v>
      </x:c>
      <x:c r="E337" s="41" t="n">
        <x:v>0.2312</x:v>
      </x:c>
      <x:c r="F337" s="48" t="str">
        <x:v>experiments/results/cade_ids/50/07.21-11.31.19/cade_ids_apigraph_cnt50_127_seed1_test_2013-01_2018-12.csv</x:v>
      </x:c>
    </x:row>
    <x:row r="338" ht="20" customHeight="1">
      <x:c r="A338" s="27" t="str">
        <x:v>CADE-IDS</x:v>
      </x:c>
      <x:c r="B338" s="30" t="str">
        <x:v>2016-10</x:v>
      </x:c>
      <x:c r="C338" s="40" t="n">
        <x:v>50</x:v>
      </x:c>
      <x:c r="D338" s="41" t="n">
        <x:v>0.8642</x:v>
      </x:c>
      <x:c r="E338" s="41" t="n">
        <x:v>0.1789</x:v>
      </x:c>
      <x:c r="F338" s="48" t="str">
        <x:v>experiments/results/cade_ids/50/07.21-11.31.19/cade_ids_apigraph_cnt50_127_seed1_test_2013-01_2018-12.csv</x:v>
      </x:c>
    </x:row>
    <x:row r="339" ht="20" customHeight="1">
      <x:c r="A339" s="27" t="str">
        <x:v>CADE-IDS</x:v>
      </x:c>
      <x:c r="B339" s="30" t="str">
        <x:v>2016-11</x:v>
      </x:c>
      <x:c r="C339" s="40" t="n">
        <x:v>50</x:v>
      </x:c>
      <x:c r="D339" s="41" t="n">
        <x:v>0.769</x:v>
      </x:c>
      <x:c r="E339" s="41" t="n">
        <x:v>0.3394</x:v>
      </x:c>
      <x:c r="F339" s="48" t="str">
        <x:v>experiments/results/cade_ids/50/07.21-11.31.19/cade_ids_apigraph_cnt50_127_seed1_test_2013-01_2018-12.csv</x:v>
      </x:c>
    </x:row>
    <x:row r="340" ht="20" customHeight="1">
      <x:c r="A340" s="27" t="str">
        <x:v>CADE-IDS</x:v>
      </x:c>
      <x:c r="B340" s="30" t="str">
        <x:v>2016-12</x:v>
      </x:c>
      <x:c r="C340" s="40" t="n">
        <x:v>50</x:v>
      </x:c>
      <x:c r="D340" s="41" t="n">
        <x:v>0.828</x:v>
      </x:c>
      <x:c r="E340" s="41" t="n">
        <x:v>0.2476</x:v>
      </x:c>
      <x:c r="F340" s="48" t="str">
        <x:v>experiments/results/cade_ids/50/07.21-11.31.19/cade_ids_apigraph_cnt50_127_seed1_test_2013-01_2018-12.csv</x:v>
      </x:c>
    </x:row>
    <x:row r="341" ht="20" customHeight="1">
      <x:c r="A341" s="27" t="str">
        <x:v>CADE-IDS</x:v>
      </x:c>
      <x:c r="B341" s="30" t="str">
        <x:v>2017-01</x:v>
      </x:c>
      <x:c r="C341" s="40" t="n">
        <x:v>50</x:v>
      </x:c>
      <x:c r="D341" s="41" t="n">
        <x:v>0.8571</x:v>
      </x:c>
      <x:c r="E341" s="41" t="n">
        <x:v>0.175</x:v>
      </x:c>
      <x:c r="F341" s="48" t="str">
        <x:v>experiments/results/cade_ids/50/07.21-11.31.19/cade_ids_apigraph_cnt50_127_seed1_test_2013-01_2018-12.csv</x:v>
      </x:c>
    </x:row>
    <x:row r="342" ht="20" customHeight="1">
      <x:c r="A342" s="27" t="str">
        <x:v>CADE-IDS</x:v>
      </x:c>
      <x:c r="B342" s="30" t="str">
        <x:v>2017-02</x:v>
      </x:c>
      <x:c r="C342" s="40" t="n">
        <x:v>50</x:v>
      </x:c>
      <x:c r="D342" s="41" t="n">
        <x:v>0.8427</x:v>
      </x:c>
      <x:c r="E342" s="41" t="n">
        <x:v>0.2283</x:v>
      </x:c>
      <x:c r="F342" s="48" t="str">
        <x:v>experiments/results/cade_ids/50/07.21-11.31.19/cade_ids_apigraph_cnt50_127_seed1_test_2013-01_2018-12.csv</x:v>
      </x:c>
    </x:row>
    <x:row r="343" ht="20" customHeight="1">
      <x:c r="A343" s="27" t="str">
        <x:v>CADE-IDS</x:v>
      </x:c>
      <x:c r="B343" s="30" t="str">
        <x:v>2017-03</x:v>
      </x:c>
      <x:c r="C343" s="40" t="n">
        <x:v>50</x:v>
      </x:c>
      <x:c r="D343" s="41" t="n">
        <x:v>0.8268</x:v>
      </x:c>
      <x:c r="E343" s="41" t="n">
        <x:v>0.2018</x:v>
      </x:c>
      <x:c r="F343" s="48" t="str">
        <x:v>experiments/results/cade_ids/50/07.21-11.31.19/cade_ids_apigraph_cnt50_127_seed1_test_2013-01_2018-12.csv</x:v>
      </x:c>
    </x:row>
    <x:row r="344" ht="20" customHeight="1">
      <x:c r="A344" s="27" t="str">
        <x:v>CADE-IDS</x:v>
      </x:c>
      <x:c r="B344" s="30" t="str">
        <x:v>2017-04</x:v>
      </x:c>
      <x:c r="C344" s="40" t="n">
        <x:v>50</x:v>
      </x:c>
      <x:c r="D344" s="41" t="n">
        <x:v>0.7664</x:v>
      </x:c>
      <x:c r="E344" s="41" t="n">
        <x:v>0.3226</x:v>
      </x:c>
      <x:c r="F344" s="48" t="str">
        <x:v>experiments/results/cade_ids/50/07.21-11.31.19/cade_ids_apigraph_cnt50_127_seed1_test_2013-01_2018-12.csv</x:v>
      </x:c>
    </x:row>
    <x:row r="345" ht="20" customHeight="1">
      <x:c r="A345" s="27" t="str">
        <x:v>CADE-IDS</x:v>
      </x:c>
      <x:c r="B345" s="30" t="str">
        <x:v>2017-05</x:v>
      </x:c>
      <x:c r="C345" s="40" t="n">
        <x:v>50</x:v>
      </x:c>
      <x:c r="D345" s="41" t="n">
        <x:v>0.8462</x:v>
      </x:c>
      <x:c r="E345" s="41" t="n">
        <x:v>0.2222</x:v>
      </x:c>
      <x:c r="F345" s="48" t="str">
        <x:v>experiments/results/cade_ids/50/07.21-11.31.19/cade_ids_apigraph_cnt50_127_seed1_test_2013-01_2018-12.csv</x:v>
      </x:c>
    </x:row>
    <x:row r="346" ht="20" customHeight="1">
      <x:c r="A346" s="27" t="str">
        <x:v>CADE-IDS</x:v>
      </x:c>
      <x:c r="B346" s="30" t="str">
        <x:v>2017-06</x:v>
      </x:c>
      <x:c r="C346" s="40" t="n">
        <x:v>50</x:v>
      </x:c>
      <x:c r="D346" s="41" t="n">
        <x:v>0.7083</x:v>
      </x:c>
      <x:c r="E346" s="41" t="n">
        <x:v>0.3982</x:v>
      </x:c>
      <x:c r="F346" s="48" t="str">
        <x:v>experiments/results/cade_ids/50/07.21-11.31.19/cade_ids_apigraph_cnt50_127_seed1_test_2013-01_2018-12.csv</x:v>
      </x:c>
    </x:row>
    <x:row r="347" ht="20" customHeight="1">
      <x:c r="A347" s="27" t="str">
        <x:v>CADE-IDS</x:v>
      </x:c>
      <x:c r="B347" s="30" t="str">
        <x:v>2017-07</x:v>
      </x:c>
      <x:c r="C347" s="40" t="n">
        <x:v>50</x:v>
      </x:c>
      <x:c r="D347" s="41" t="n">
        <x:v>0.8698</x:v>
      </x:c>
      <x:c r="E347" s="41" t="n">
        <x:v>0.1604</x:v>
      </x:c>
      <x:c r="F347" s="48" t="str">
        <x:v>experiments/results/cade_ids/50/07.21-11.31.19/cade_ids_apigraph_cnt50_127_seed1_test_2013-01_2018-12.csv</x:v>
      </x:c>
    </x:row>
    <x:row r="348" ht="20" customHeight="1">
      <x:c r="A348" s="27" t="str">
        <x:v>CADE-IDS</x:v>
      </x:c>
      <x:c r="B348" s="30" t="str">
        <x:v>2017-08</x:v>
      </x:c>
      <x:c r="C348" s="40" t="n">
        <x:v>50</x:v>
      </x:c>
      <x:c r="D348" s="41" t="n">
        <x:v>0.9336</x:v>
      </x:c>
      <x:c r="E348" s="41" t="n">
        <x:v>0.0743</x:v>
      </x:c>
      <x:c r="F348" s="48" t="str">
        <x:v>experiments/results/cade_ids/50/07.21-11.31.19/cade_ids_apigraph_cnt50_127_seed1_test_2013-01_2018-12.csv</x:v>
      </x:c>
    </x:row>
    <x:row r="349" ht="20" customHeight="1">
      <x:c r="A349" s="27" t="str">
        <x:v>CADE-IDS</x:v>
      </x:c>
      <x:c r="B349" s="30" t="str">
        <x:v>2017-09</x:v>
      </x:c>
      <x:c r="C349" s="40" t="n">
        <x:v>50</x:v>
      </x:c>
      <x:c r="D349" s="41" t="n">
        <x:v>0.8825</x:v>
      </x:c>
      <x:c r="E349" s="41" t="n">
        <x:v>0.1146</x:v>
      </x:c>
      <x:c r="F349" s="48" t="str">
        <x:v>experiments/results/cade_ids/50/07.21-11.31.19/cade_ids_apigraph_cnt50_127_seed1_test_2013-01_2018-12.csv</x:v>
      </x:c>
    </x:row>
    <x:row r="350" ht="20" customHeight="1">
      <x:c r="A350" s="27" t="str">
        <x:v>CADE-IDS</x:v>
      </x:c>
      <x:c r="B350" s="30" t="str">
        <x:v>2017-10</x:v>
      </x:c>
      <x:c r="C350" s="40" t="n">
        <x:v>50</x:v>
      </x:c>
      <x:c r="D350" s="41" t="n">
        <x:v>0.8969</x:v>
      </x:c>
      <x:c r="E350" s="41" t="n">
        <x:v>0.1538</x:v>
      </x:c>
      <x:c r="F350" s="48" t="str">
        <x:v>experiments/results/cade_ids/50/07.21-11.31.19/cade_ids_apigraph_cnt50_127_seed1_test_2013-01_2018-12.csv</x:v>
      </x:c>
    </x:row>
    <x:row r="351" ht="20" customHeight="1">
      <x:c r="A351" s="27" t="str">
        <x:v>CADE-IDS</x:v>
      </x:c>
      <x:c r="B351" s="30" t="str">
        <x:v>2017-11</x:v>
      </x:c>
      <x:c r="C351" s="40" t="n">
        <x:v>50</x:v>
      </x:c>
      <x:c r="D351" s="41" t="n">
        <x:v>0.8927</x:v>
      </x:c>
      <x:c r="E351" s="41" t="n">
        <x:v>0.1413</x:v>
      </x:c>
      <x:c r="F351" s="48" t="str">
        <x:v>experiments/results/cade_ids/50/07.21-11.31.19/cade_ids_apigraph_cnt50_127_seed1_test_2013-01_2018-12.csv</x:v>
      </x:c>
    </x:row>
    <x:row r="352" ht="20" customHeight="1">
      <x:c r="A352" s="27" t="str">
        <x:v>CADE-IDS</x:v>
      </x:c>
      <x:c r="B352" s="30" t="str">
        <x:v>2017-12</x:v>
      </x:c>
      <x:c r="C352" s="40" t="n">
        <x:v>50</x:v>
      </x:c>
      <x:c r="D352" s="41" t="n">
        <x:v>0.8593</x:v>
      </x:c>
      <x:c r="E352" s="41" t="n">
        <x:v>0.096</x:v>
      </x:c>
      <x:c r="F352" s="48" t="str">
        <x:v>experiments/results/cade_ids/50/07.21-11.31.19/cade_ids_apigraph_cnt50_127_seed1_test_2013-01_2018-12.csv</x:v>
      </x:c>
    </x:row>
    <x:row r="353" ht="20" customHeight="1">
      <x:c r="A353" s="27" t="str">
        <x:v>CADE-IDS</x:v>
      </x:c>
      <x:c r="B353" s="30" t="str">
        <x:v>2018-01</x:v>
      </x:c>
      <x:c r="C353" s="40" t="n">
        <x:v>50</x:v>
      </x:c>
      <x:c r="D353" s="41" t="n">
        <x:v>0.8926</x:v>
      </x:c>
      <x:c r="E353" s="41" t="n">
        <x:v>0.1307</x:v>
      </x:c>
      <x:c r="F353" s="48" t="str">
        <x:v>experiments/results/cade_ids/50/07.21-11.31.19/cade_ids_apigraph_cnt50_127_seed1_test_2013-01_2018-12.csv</x:v>
      </x:c>
    </x:row>
    <x:row r="354" ht="20" customHeight="1">
      <x:c r="A354" s="27" t="str">
        <x:v>CADE-IDS</x:v>
      </x:c>
      <x:c r="B354" s="30" t="str">
        <x:v>2018-02</x:v>
      </x:c>
      <x:c r="C354" s="40" t="n">
        <x:v>50</x:v>
      </x:c>
      <x:c r="D354" s="41" t="n">
        <x:v>0.8864</x:v>
      </x:c>
      <x:c r="E354" s="41" t="n">
        <x:v>0.1655</x:v>
      </x:c>
      <x:c r="F354" s="48" t="str">
        <x:v>experiments/results/cade_ids/50/07.21-11.31.19/cade_ids_apigraph_cnt50_127_seed1_test_2013-01_2018-12.csv</x:v>
      </x:c>
    </x:row>
    <x:row r="355" ht="20" customHeight="1">
      <x:c r="A355" s="27" t="str">
        <x:v>CADE-IDS</x:v>
      </x:c>
      <x:c r="B355" s="30" t="str">
        <x:v>2018-03</x:v>
      </x:c>
      <x:c r="C355" s="40" t="n">
        <x:v>50</x:v>
      </x:c>
      <x:c r="D355" s="41" t="n">
        <x:v>0.893</x:v>
      </x:c>
      <x:c r="E355" s="41" t="n">
        <x:v>0.1168</x:v>
      </x:c>
      <x:c r="F355" s="48" t="str">
        <x:v>experiments/results/cade_ids/50/07.21-11.31.19/cade_ids_apigraph_cnt50_127_seed1_test_2013-01_2018-12.csv</x:v>
      </x:c>
    </x:row>
    <x:row r="356" ht="20" customHeight="1">
      <x:c r="A356" s="27" t="str">
        <x:v>CADE-IDS</x:v>
      </x:c>
      <x:c r="B356" s="30" t="str">
        <x:v>2018-04</x:v>
      </x:c>
      <x:c r="C356" s="40" t="n">
        <x:v>50</x:v>
      </x:c>
      <x:c r="D356" s="41" t="n">
        <x:v>0.9176</x:v>
      </x:c>
      <x:c r="E356" s="41" t="n">
        <x:v>0.089</x:v>
      </x:c>
      <x:c r="F356" s="48" t="str">
        <x:v>experiments/results/cade_ids/50/07.21-11.31.19/cade_ids_apigraph_cnt50_127_seed1_test_2013-01_2018-12.csv</x:v>
      </x:c>
    </x:row>
    <x:row r="357" ht="20" customHeight="1">
      <x:c r="A357" s="27" t="str">
        <x:v>CADE-IDS</x:v>
      </x:c>
      <x:c r="B357" s="30" t="str">
        <x:v>2018-05</x:v>
      </x:c>
      <x:c r="C357" s="40" t="n">
        <x:v>50</x:v>
      </x:c>
      <x:c r="D357" s="41" t="n">
        <x:v>0.929</x:v>
      </x:c>
      <x:c r="E357" s="41" t="n">
        <x:v>0.1074</x:v>
      </x:c>
      <x:c r="F357" s="48" t="str">
        <x:v>experiments/results/cade_ids/50/07.21-11.31.19/cade_ids_apigraph_cnt50_127_seed1_test_2013-01_2018-12.csv</x:v>
      </x:c>
    </x:row>
    <x:row r="358" ht="20" customHeight="1">
      <x:c r="A358" s="27" t="str">
        <x:v>CADE-IDS</x:v>
      </x:c>
      <x:c r="B358" s="30" t="str">
        <x:v>2018-06</x:v>
      </x:c>
      <x:c r="C358" s="40" t="n">
        <x:v>50</x:v>
      </x:c>
      <x:c r="D358" s="41" t="n">
        <x:v>0.8628</x:v>
      </x:c>
      <x:c r="E358" s="41" t="n">
        <x:v>0.2238</x:v>
      </x:c>
      <x:c r="F358" s="48" t="str">
        <x:v>experiments/results/cade_ids/50/07.21-11.31.19/cade_ids_apigraph_cnt50_127_seed1_test_2013-01_2018-12.csv</x:v>
      </x:c>
    </x:row>
    <x:row r="359" ht="20" customHeight="1">
      <x:c r="A359" s="27" t="str">
        <x:v>CADE-IDS</x:v>
      </x:c>
      <x:c r="B359" s="30" t="str">
        <x:v>2018-07</x:v>
      </x:c>
      <x:c r="C359" s="40" t="n">
        <x:v>50</x:v>
      </x:c>
      <x:c r="D359" s="41" t="n">
        <x:v>0.8842</x:v>
      </x:c>
      <x:c r="E359" s="41" t="n">
        <x:v>0.1783</x:v>
      </x:c>
      <x:c r="F359" s="48" t="str">
        <x:v>experiments/results/cade_ids/50/07.21-11.31.19/cade_ids_apigraph_cnt50_127_seed1_test_2013-01_2018-12.csv</x:v>
      </x:c>
    </x:row>
    <x:row r="360" ht="20" customHeight="1">
      <x:c r="A360" s="27" t="str">
        <x:v>CADE-IDS</x:v>
      </x:c>
      <x:c r="B360" s="30" t="str">
        <x:v>2018-08</x:v>
      </x:c>
      <x:c r="C360" s="40" t="n">
        <x:v>50</x:v>
      </x:c>
      <x:c r="D360" s="41" t="n">
        <x:v>0.9007</x:v>
      </x:c>
      <x:c r="E360" s="41" t="n">
        <x:v>0.1271</x:v>
      </x:c>
      <x:c r="F360" s="48" t="str">
        <x:v>experiments/results/cade_ids/50/07.21-11.31.19/cade_ids_apigraph_cnt50_127_seed1_test_2013-01_2018-12.csv</x:v>
      </x:c>
    </x:row>
    <x:row r="361" ht="20" customHeight="1">
      <x:c r="A361" s="27" t="str">
        <x:v>CADE-IDS</x:v>
      </x:c>
      <x:c r="B361" s="30" t="str">
        <x:v>2018-09</x:v>
      </x:c>
      <x:c r="C361" s="40" t="n">
        <x:v>50</x:v>
      </x:c>
      <x:c r="D361" s="41" t="n">
        <x:v>0.8516</x:v>
      </x:c>
      <x:c r="E361" s="41" t="n">
        <x:v>0.1921</x:v>
      </x:c>
      <x:c r="F361" s="48" t="str">
        <x:v>experiments/results/cade_ids/50/07.21-11.31.19/cade_ids_apigraph_cnt50_127_seed1_test_2013-01_2018-12.csv</x:v>
      </x:c>
    </x:row>
    <x:row r="362" ht="20" customHeight="1">
      <x:c r="A362" s="27" t="str">
        <x:v>CADE-IDS</x:v>
      </x:c>
      <x:c r="B362" s="30" t="str">
        <x:v>2018-10</x:v>
      </x:c>
      <x:c r="C362" s="40" t="n">
        <x:v>50</x:v>
      </x:c>
      <x:c r="D362" s="41" t="n">
        <x:v>0.8793</x:v>
      </x:c>
      <x:c r="E362" s="41" t="n">
        <x:v>0.1947</x:v>
      </x:c>
      <x:c r="F362" s="48" t="str">
        <x:v>experiments/results/cade_ids/50/07.21-11.31.19/cade_ids_apigraph_cnt50_127_seed1_test_2013-01_2018-12.csv</x:v>
      </x:c>
    </x:row>
    <x:row r="363" ht="20" customHeight="1">
      <x:c r="A363" s="27" t="str">
        <x:v>CADE-IDS</x:v>
      </x:c>
      <x:c r="B363" s="30" t="str">
        <x:v>2018-11</x:v>
      </x:c>
      <x:c r="C363" s="40" t="n">
        <x:v>50</x:v>
      </x:c>
      <x:c r="D363" s="41" t="n">
        <x:v>0.9431</x:v>
      </x:c>
      <x:c r="E363" s="41" t="n">
        <x:v>0.0767</x:v>
      </x:c>
      <x:c r="F363" s="48" t="str">
        <x:v>experiments/results/cade_ids/50/07.21-11.31.19/cade_ids_apigraph_cnt50_127_seed1_test_2013-01_2018-12.csv</x:v>
      </x:c>
    </x:row>
    <x:row r="364" ht="20" customHeight="1">
      <x:c r="A364" s="27" t="str">
        <x:v>CADE-IDS</x:v>
      </x:c>
      <x:c r="B364" s="30" t="str">
        <x:v>2018-12</x:v>
      </x:c>
      <x:c r="C364" s="40" t="n">
        <x:v>50</x:v>
      </x:c>
      <x:c r="D364" s="41" t="n">
        <x:v>0.9487</x:v>
      </x:c>
      <x:c r="E364" s="41" t="n">
        <x:v>0.0415</x:v>
      </x:c>
      <x:c r="F364" s="48" t="str">
        <x:v>experiments/results/cade_ids/50/07.21-11.31.19/cade_ids_apigraph_cnt50_127_seed1_test_2013-01_2018-12.csv</x:v>
      </x:c>
    </x:row>
    <x:row r="365" ht="20" customHeight="1">
      <x:c r="A365" s="27" t="str">
        <x:v>CADE-IDS</x:v>
      </x:c>
      <x:c r="B365" s="30" t="str">
        <x:v>2013-01</x:v>
      </x:c>
      <x:c r="C365" s="40" t="n">
        <x:v>100</x:v>
      </x:c>
      <x:c r="D365" s="41" t="n">
        <x:v>0.9558</x:v>
      </x:c>
      <x:c r="E365" s="41" t="n">
        <x:v>0.026</x:v>
      </x:c>
      <x:c r="F365" s="48" t="str">
        <x:v>experiments/results/cade_ids/100/07.21-16.54.51/cade_ids_apigraph_cnt100_127_seed1_test_2013-01_2018-12.csv</x:v>
      </x:c>
    </x:row>
    <x:row r="366" ht="20" customHeight="1">
      <x:c r="A366" s="27" t="str">
        <x:v>CADE-IDS</x:v>
      </x:c>
      <x:c r="B366" s="30" t="str">
        <x:v>2013-02</x:v>
      </x:c>
      <x:c r="C366" s="40" t="n">
        <x:v>100</x:v>
      </x:c>
      <x:c r="D366" s="41" t="n">
        <x:v>0.8863</x:v>
      </x:c>
      <x:c r="E366" s="41" t="n">
        <x:v>0.1719</x:v>
      </x:c>
      <x:c r="F366" s="48" t="str">
        <x:v>experiments/results/cade_ids/100/07.21-16.54.51/cade_ids_apigraph_cnt100_127_seed1_test_2013-01_2018-12.csv</x:v>
      </x:c>
    </x:row>
    <x:row r="367" ht="20" customHeight="1">
      <x:c r="A367" s="27" t="str">
        <x:v>CADE-IDS</x:v>
      </x:c>
      <x:c r="B367" s="30" t="str">
        <x:v>2013-03</x:v>
      </x:c>
      <x:c r="C367" s="40" t="n">
        <x:v>100</x:v>
      </x:c>
      <x:c r="D367" s="41" t="n">
        <x:v>0.8781</x:v>
      </x:c>
      <x:c r="E367" s="41" t="n">
        <x:v>0.1662</x:v>
      </x:c>
      <x:c r="F367" s="48" t="str">
        <x:v>experiments/results/cade_ids/100/07.21-16.54.51/cade_ids_apigraph_cnt100_127_seed1_test_2013-01_2018-12.csv</x:v>
      </x:c>
    </x:row>
    <x:row r="368" ht="20" customHeight="1">
      <x:c r="A368" s="27" t="str">
        <x:v>CADE-IDS</x:v>
      </x:c>
      <x:c r="B368" s="30" t="str">
        <x:v>2013-04</x:v>
      </x:c>
      <x:c r="C368" s="40" t="n">
        <x:v>100</x:v>
      </x:c>
      <x:c r="D368" s="41" t="n">
        <x:v>0.912</x:v>
      </x:c>
      <x:c r="E368" s="41" t="n">
        <x:v>0.1208</x:v>
      </x:c>
      <x:c r="F368" s="48" t="str">
        <x:v>experiments/results/cade_ids/100/07.21-16.54.51/cade_ids_apigraph_cnt100_127_seed1_test_2013-01_2018-12.csv</x:v>
      </x:c>
    </x:row>
    <x:row r="369" ht="20" customHeight="1">
      <x:c r="A369" s="27" t="str">
        <x:v>CADE-IDS</x:v>
      </x:c>
      <x:c r="B369" s="30" t="str">
        <x:v>2013-05</x:v>
      </x:c>
      <x:c r="C369" s="40" t="n">
        <x:v>100</x:v>
      </x:c>
      <x:c r="D369" s="41" t="n">
        <x:v>0.8997</x:v>
      </x:c>
      <x:c r="E369" s="41" t="n">
        <x:v>0.1349</x:v>
      </x:c>
      <x:c r="F369" s="48" t="str">
        <x:v>experiments/results/cade_ids/100/07.21-16.54.51/cade_ids_apigraph_cnt100_127_seed1_test_2013-01_2018-12.csv</x:v>
      </x:c>
    </x:row>
    <x:row r="370" ht="20" customHeight="1">
      <x:c r="A370" s="27" t="str">
        <x:v>CADE-IDS</x:v>
      </x:c>
      <x:c r="B370" s="30" t="str">
        <x:v>2013-06</x:v>
      </x:c>
      <x:c r="C370" s="40" t="n">
        <x:v>100</x:v>
      </x:c>
      <x:c r="D370" s="41" t="n">
        <x:v>0.8865</x:v>
      </x:c>
      <x:c r="E370" s="41" t="n">
        <x:v>0.1331</x:v>
      </x:c>
      <x:c r="F370" s="48" t="str">
        <x:v>experiments/results/cade_ids/100/07.21-16.54.51/cade_ids_apigraph_cnt100_127_seed1_test_2013-01_2018-12.csv</x:v>
      </x:c>
    </x:row>
    <x:row r="371" ht="20" customHeight="1">
      <x:c r="A371" s="27" t="str">
        <x:v>CADE-IDS</x:v>
      </x:c>
      <x:c r="B371" s="30" t="str">
        <x:v>2013-07</x:v>
      </x:c>
      <x:c r="C371" s="40" t="n">
        <x:v>100</x:v>
      </x:c>
      <x:c r="D371" s="41" t="n">
        <x:v>0.8994</x:v>
      </x:c>
      <x:c r="E371" s="41" t="n">
        <x:v>0.1344</x:v>
      </x:c>
      <x:c r="F371" s="48" t="str">
        <x:v>experiments/results/cade_ids/100/07.21-16.54.51/cade_ids_apigraph_cnt100_127_seed1_test_2013-01_2018-12.csv</x:v>
      </x:c>
    </x:row>
    <x:row r="372" ht="20" customHeight="1">
      <x:c r="A372" s="27" t="str">
        <x:v>CADE-IDS</x:v>
      </x:c>
      <x:c r="B372" s="30" t="str">
        <x:v>2013-08</x:v>
      </x:c>
      <x:c r="C372" s="40" t="n">
        <x:v>100</x:v>
      </x:c>
      <x:c r="D372" s="41" t="n">
        <x:v>0.9013</x:v>
      </x:c>
      <x:c r="E372" s="41" t="n">
        <x:v>0.1322</x:v>
      </x:c>
      <x:c r="F372" s="48" t="str">
        <x:v>experiments/results/cade_ids/100/07.21-16.54.51/cade_ids_apigraph_cnt100_127_seed1_test_2013-01_2018-12.csv</x:v>
      </x:c>
    </x:row>
    <x:row r="373" ht="20" customHeight="1">
      <x:c r="A373" s="27" t="str">
        <x:v>CADE-IDS</x:v>
      </x:c>
      <x:c r="B373" s="30" t="str">
        <x:v>2013-09</x:v>
      </x:c>
      <x:c r="C373" s="40" t="n">
        <x:v>100</x:v>
      </x:c>
      <x:c r="D373" s="41" t="n">
        <x:v>0.8869</x:v>
      </x:c>
      <x:c r="E373" s="41" t="n">
        <x:v>0.13</x:v>
      </x:c>
      <x:c r="F373" s="48" t="str">
        <x:v>experiments/results/cade_ids/100/07.21-16.54.51/cade_ids_apigraph_cnt100_127_seed1_test_2013-01_2018-12.csv</x:v>
      </x:c>
    </x:row>
    <x:row r="374" ht="20" customHeight="1">
      <x:c r="A374" s="27" t="str">
        <x:v>CADE-IDS</x:v>
      </x:c>
      <x:c r="B374" s="30" t="str">
        <x:v>2013-10</x:v>
      </x:c>
      <x:c r="C374" s="40" t="n">
        <x:v>100</x:v>
      </x:c>
      <x:c r="D374" s="41" t="n">
        <x:v>0.8891</x:v>
      </x:c>
      <x:c r="E374" s="41" t="n">
        <x:v>0.1563</x:v>
      </x:c>
      <x:c r="F374" s="48" t="str">
        <x:v>experiments/results/cade_ids/100/07.21-16.54.51/cade_ids_apigraph_cnt100_127_seed1_test_2013-01_2018-12.csv</x:v>
      </x:c>
    </x:row>
    <x:row r="375" ht="20" customHeight="1">
      <x:c r="A375" s="27" t="str">
        <x:v>CADE-IDS</x:v>
      </x:c>
      <x:c r="B375" s="30" t="str">
        <x:v>2013-11</x:v>
      </x:c>
      <x:c r="C375" s="40" t="n">
        <x:v>100</x:v>
      </x:c>
      <x:c r="D375" s="41" t="n">
        <x:v>0.8734</x:v>
      </x:c>
      <x:c r="E375" s="41" t="n">
        <x:v>0.1636</x:v>
      </x:c>
      <x:c r="F375" s="48" t="str">
        <x:v>experiments/results/cade_ids/100/07.21-16.54.51/cade_ids_apigraph_cnt100_127_seed1_test_2013-01_2018-12.csv</x:v>
      </x:c>
    </x:row>
    <x:row r="376" ht="20" customHeight="1">
      <x:c r="A376" s="27" t="str">
        <x:v>CADE-IDS</x:v>
      </x:c>
      <x:c r="B376" s="30" t="str">
        <x:v>2013-12</x:v>
      </x:c>
      <x:c r="C376" s="40" t="n">
        <x:v>100</x:v>
      </x:c>
      <x:c r="D376" s="41" t="n">
        <x:v>0.8765</x:v>
      </x:c>
      <x:c r="E376" s="41" t="n">
        <x:v>0.1824</x:v>
      </x:c>
      <x:c r="F376" s="48" t="str">
        <x:v>experiments/results/cade_ids/100/07.21-16.54.51/cade_ids_apigraph_cnt100_127_seed1_test_2013-01_2018-12.csv</x:v>
      </x:c>
    </x:row>
    <x:row r="377" ht="20" customHeight="1">
      <x:c r="A377" s="27" t="str">
        <x:v>CADE-IDS</x:v>
      </x:c>
      <x:c r="B377" s="30" t="str">
        <x:v>2014-01</x:v>
      </x:c>
      <x:c r="C377" s="40" t="n">
        <x:v>100</x:v>
      </x:c>
      <x:c r="D377" s="41" t="n">
        <x:v>0.8596</x:v>
      </x:c>
      <x:c r="E377" s="41" t="n">
        <x:v>0.1927</x:v>
      </x:c>
      <x:c r="F377" s="48" t="str">
        <x:v>experiments/results/cade_ids/100/07.21-16.54.51/cade_ids_apigraph_cnt100_127_seed1_test_2013-01_2018-12.csv</x:v>
      </x:c>
    </x:row>
    <x:row r="378" ht="20" customHeight="1">
      <x:c r="A378" s="27" t="str">
        <x:v>CADE-IDS</x:v>
      </x:c>
      <x:c r="B378" s="30" t="str">
        <x:v>2014-02</x:v>
      </x:c>
      <x:c r="C378" s="40" t="n">
        <x:v>100</x:v>
      </x:c>
      <x:c r="D378" s="41" t="n">
        <x:v>0.9084</x:v>
      </x:c>
      <x:c r="E378" s="41" t="n">
        <x:v>0.099</x:v>
      </x:c>
      <x:c r="F378" s="48" t="str">
        <x:v>experiments/results/cade_ids/100/07.21-16.54.51/cade_ids_apigraph_cnt100_127_seed1_test_2013-01_2018-12.csv</x:v>
      </x:c>
    </x:row>
    <x:row r="379" ht="20" customHeight="1">
      <x:c r="A379" s="27" t="str">
        <x:v>CADE-IDS</x:v>
      </x:c>
      <x:c r="B379" s="30" t="str">
        <x:v>2014-03</x:v>
      </x:c>
      <x:c r="C379" s="40" t="n">
        <x:v>100</x:v>
      </x:c>
      <x:c r="D379" s="41" t="n">
        <x:v>0.8651</x:v>
      </x:c>
      <x:c r="E379" s="41" t="n">
        <x:v>0.1559</x:v>
      </x:c>
      <x:c r="F379" s="48" t="str">
        <x:v>experiments/results/cade_ids/100/07.21-16.54.51/cade_ids_apigraph_cnt100_127_seed1_test_2013-01_2018-12.csv</x:v>
      </x:c>
    </x:row>
    <x:row r="380" ht="20" customHeight="1">
      <x:c r="A380" s="27" t="str">
        <x:v>CADE-IDS</x:v>
      </x:c>
      <x:c r="B380" s="30" t="str">
        <x:v>2014-04</x:v>
      </x:c>
      <x:c r="C380" s="40" t="n">
        <x:v>100</x:v>
      </x:c>
      <x:c r="D380" s="41" t="n">
        <x:v>0.8552</x:v>
      </x:c>
      <x:c r="E380" s="41" t="n">
        <x:v>0.1614</x:v>
      </x:c>
      <x:c r="F380" s="48" t="str">
        <x:v>experiments/results/cade_ids/100/07.21-16.54.51/cade_ids_apigraph_cnt100_127_seed1_test_2013-01_2018-12.csv</x:v>
      </x:c>
    </x:row>
    <x:row r="381" ht="20" customHeight="1">
      <x:c r="A381" s="27" t="str">
        <x:v>CADE-IDS</x:v>
      </x:c>
      <x:c r="B381" s="30" t="str">
        <x:v>2014-05</x:v>
      </x:c>
      <x:c r="C381" s="40" t="n">
        <x:v>100</x:v>
      </x:c>
      <x:c r="D381" s="41" t="n">
        <x:v>0.8747</x:v>
      </x:c>
      <x:c r="E381" s="41" t="n">
        <x:v>0.1288</x:v>
      </x:c>
      <x:c r="F381" s="48" t="str">
        <x:v>experiments/results/cade_ids/100/07.21-16.54.51/cade_ids_apigraph_cnt100_127_seed1_test_2013-01_2018-12.csv</x:v>
      </x:c>
    </x:row>
    <x:row r="382" ht="20" customHeight="1">
      <x:c r="A382" s="27" t="str">
        <x:v>CADE-IDS</x:v>
      </x:c>
      <x:c r="B382" s="30" t="str">
        <x:v>2014-06</x:v>
      </x:c>
      <x:c r="C382" s="40" t="n">
        <x:v>100</x:v>
      </x:c>
      <x:c r="D382" s="41" t="n">
        <x:v>0.7655</x:v>
      </x:c>
      <x:c r="E382" s="41" t="n">
        <x:v>0.3313</x:v>
      </x:c>
      <x:c r="F382" s="48" t="str">
        <x:v>experiments/results/cade_ids/100/07.21-16.54.51/cade_ids_apigraph_cnt100_127_seed1_test_2013-01_2018-12.csv</x:v>
      </x:c>
    </x:row>
    <x:row r="383" ht="20" customHeight="1">
      <x:c r="A383" s="27" t="str">
        <x:v>CADE-IDS</x:v>
      </x:c>
      <x:c r="B383" s="30" t="str">
        <x:v>2014-07</x:v>
      </x:c>
      <x:c r="C383" s="40" t="n">
        <x:v>100</x:v>
      </x:c>
      <x:c r="D383" s="41" t="n">
        <x:v>0.7977</x:v>
      </x:c>
      <x:c r="E383" s="41" t="n">
        <x:v>0.2926</x:v>
      </x:c>
      <x:c r="F383" s="48" t="str">
        <x:v>experiments/results/cade_ids/100/07.21-16.54.51/cade_ids_apigraph_cnt100_127_seed1_test_2013-01_2018-12.csv</x:v>
      </x:c>
    </x:row>
    <x:row r="384" ht="20" customHeight="1">
      <x:c r="A384" s="27" t="str">
        <x:v>CADE-IDS</x:v>
      </x:c>
      <x:c r="B384" s="30" t="str">
        <x:v>2014-08</x:v>
      </x:c>
      <x:c r="C384" s="40" t="n">
        <x:v>100</x:v>
      </x:c>
      <x:c r="D384" s="41" t="n">
        <x:v>0.8108</x:v>
      </x:c>
      <x:c r="E384" s="41" t="n">
        <x:v>0.2742</x:v>
      </x:c>
      <x:c r="F384" s="48" t="str">
        <x:v>experiments/results/cade_ids/100/07.21-16.54.51/cade_ids_apigraph_cnt100_127_seed1_test_2013-01_2018-12.csv</x:v>
      </x:c>
    </x:row>
    <x:row r="385" ht="20" customHeight="1">
      <x:c r="A385" s="27" t="str">
        <x:v>CADE-IDS</x:v>
      </x:c>
      <x:c r="B385" s="30" t="str">
        <x:v>2014-09</x:v>
      </x:c>
      <x:c r="C385" s="40" t="n">
        <x:v>100</x:v>
      </x:c>
      <x:c r="D385" s="41" t="n">
        <x:v>0.8196</x:v>
      </x:c>
      <x:c r="E385" s="41" t="n">
        <x:v>0.2464</x:v>
      </x:c>
      <x:c r="F385" s="48" t="str">
        <x:v>experiments/results/cade_ids/100/07.21-16.54.51/cade_ids_apigraph_cnt100_127_seed1_test_2013-01_2018-12.csv</x:v>
      </x:c>
    </x:row>
    <x:row r="386" ht="20" customHeight="1">
      <x:c r="A386" s="27" t="str">
        <x:v>CADE-IDS</x:v>
      </x:c>
      <x:c r="B386" s="30" t="str">
        <x:v>2014-10</x:v>
      </x:c>
      <x:c r="C386" s="40" t="n">
        <x:v>100</x:v>
      </x:c>
      <x:c r="D386" s="41" t="n">
        <x:v>0.8078</x:v>
      </x:c>
      <x:c r="E386" s="41" t="n">
        <x:v>0.2781</x:v>
      </x:c>
      <x:c r="F386" s="48" t="str">
        <x:v>experiments/results/cade_ids/100/07.21-16.54.51/cade_ids_apigraph_cnt100_127_seed1_test_2013-01_2018-12.csv</x:v>
      </x:c>
    </x:row>
    <x:row r="387" ht="20" customHeight="1">
      <x:c r="A387" s="27" t="str">
        <x:v>CADE-IDS</x:v>
      </x:c>
      <x:c r="B387" s="30" t="str">
        <x:v>2014-11</x:v>
      </x:c>
      <x:c r="C387" s="40" t="n">
        <x:v>100</x:v>
      </x:c>
      <x:c r="D387" s="41" t="n">
        <x:v>0.8891</x:v>
      </x:c>
      <x:c r="E387" s="41" t="n">
        <x:v>0.146</x:v>
      </x:c>
      <x:c r="F387" s="48" t="str">
        <x:v>experiments/results/cade_ids/100/07.21-16.54.51/cade_ids_apigraph_cnt100_127_seed1_test_2013-01_2018-12.csv</x:v>
      </x:c>
    </x:row>
    <x:row r="388" ht="20" customHeight="1">
      <x:c r="A388" s="27" t="str">
        <x:v>CADE-IDS</x:v>
      </x:c>
      <x:c r="B388" s="30" t="str">
        <x:v>2014-12</x:v>
      </x:c>
      <x:c r="C388" s="40" t="n">
        <x:v>100</x:v>
      </x:c>
      <x:c r="D388" s="41" t="n">
        <x:v>0.8504</x:v>
      </x:c>
      <x:c r="E388" s="41" t="n">
        <x:v>0.2272</x:v>
      </x:c>
      <x:c r="F388" s="48" t="str">
        <x:v>experiments/results/cade_ids/100/07.21-16.54.51/cade_ids_apigraph_cnt100_127_seed1_test_2013-01_2018-12.csv</x:v>
      </x:c>
    </x:row>
    <x:row r="389" ht="20" customHeight="1">
      <x:c r="A389" s="27" t="str">
        <x:v>CADE-IDS</x:v>
      </x:c>
      <x:c r="B389" s="30" t="str">
        <x:v>2015-01</x:v>
      </x:c>
      <x:c r="C389" s="40" t="n">
        <x:v>100</x:v>
      </x:c>
      <x:c r="D389" s="41" t="n">
        <x:v>0.8585</x:v>
      </x:c>
      <x:c r="E389" s="41" t="n">
        <x:v>0.2197</x:v>
      </x:c>
      <x:c r="F389" s="48" t="str">
        <x:v>experiments/results/cade_ids/100/07.21-16.54.51/cade_ids_apigraph_cnt100_127_seed1_test_2013-01_2018-12.csv</x:v>
      </x:c>
    </x:row>
    <x:row r="390" ht="20" customHeight="1">
      <x:c r="A390" s="27" t="str">
        <x:v>CADE-IDS</x:v>
      </x:c>
      <x:c r="B390" s="30" t="str">
        <x:v>2015-02</x:v>
      </x:c>
      <x:c r="C390" s="40" t="n">
        <x:v>100</x:v>
      </x:c>
      <x:c r="D390" s="41" t="n">
        <x:v>0.9067</x:v>
      </x:c>
      <x:c r="E390" s="41" t="n">
        <x:v>0.1328</x:v>
      </x:c>
      <x:c r="F390" s="48" t="str">
        <x:v>experiments/results/cade_ids/100/07.21-16.54.51/cade_ids_apigraph_cnt100_127_seed1_test_2013-01_2018-12.csv</x:v>
      </x:c>
    </x:row>
    <x:row r="391" ht="20" customHeight="1">
      <x:c r="A391" s="27" t="str">
        <x:v>CADE-IDS</x:v>
      </x:c>
      <x:c r="B391" s="30" t="str">
        <x:v>2015-03</x:v>
      </x:c>
      <x:c r="C391" s="40" t="n">
        <x:v>100</x:v>
      </x:c>
      <x:c r="D391" s="41" t="n">
        <x:v>0.8733</x:v>
      </x:c>
      <x:c r="E391" s="41" t="n">
        <x:v>0.1953</x:v>
      </x:c>
      <x:c r="F391" s="48" t="str">
        <x:v>experiments/results/cade_ids/100/07.21-16.54.51/cade_ids_apigraph_cnt100_127_seed1_test_2013-01_2018-12.csv</x:v>
      </x:c>
    </x:row>
    <x:row r="392" ht="20" customHeight="1">
      <x:c r="A392" s="27" t="str">
        <x:v>CADE-IDS</x:v>
      </x:c>
      <x:c r="B392" s="30" t="str">
        <x:v>2015-04</x:v>
      </x:c>
      <x:c r="C392" s="40" t="n">
        <x:v>100</x:v>
      </x:c>
      <x:c r="D392" s="41" t="n">
        <x:v>0.9073</x:v>
      </x:c>
      <x:c r="E392" s="41" t="n">
        <x:v>0.1306</x:v>
      </x:c>
      <x:c r="F392" s="48" t="str">
        <x:v>experiments/results/cade_ids/100/07.21-16.54.51/cade_ids_apigraph_cnt100_127_seed1_test_2013-01_2018-12.csv</x:v>
      </x:c>
    </x:row>
    <x:row r="393" ht="20" customHeight="1">
      <x:c r="A393" s="27" t="str">
        <x:v>CADE-IDS</x:v>
      </x:c>
      <x:c r="B393" s="30" t="str">
        <x:v>2015-05</x:v>
      </x:c>
      <x:c r="C393" s="40" t="n">
        <x:v>100</x:v>
      </x:c>
      <x:c r="D393" s="41" t="n">
        <x:v>0.9004</x:v>
      </x:c>
      <x:c r="E393" s="41" t="n">
        <x:v>0.1554</x:v>
      </x:c>
      <x:c r="F393" s="48" t="str">
        <x:v>experiments/results/cade_ids/100/07.21-16.54.51/cade_ids_apigraph_cnt100_127_seed1_test_2013-01_2018-12.csv</x:v>
      </x:c>
    </x:row>
    <x:row r="394" ht="20" customHeight="1">
      <x:c r="A394" s="27" t="str">
        <x:v>CADE-IDS</x:v>
      </x:c>
      <x:c r="B394" s="30" t="str">
        <x:v>2015-06</x:v>
      </x:c>
      <x:c r="C394" s="40" t="n">
        <x:v>100</x:v>
      </x:c>
      <x:c r="D394" s="41" t="n">
        <x:v>0.9065</x:v>
      </x:c>
      <x:c r="E394" s="41" t="n">
        <x:v>0.151</x:v>
      </x:c>
      <x:c r="F394" s="48" t="str">
        <x:v>experiments/results/cade_ids/100/07.21-16.54.51/cade_ids_apigraph_cnt100_127_seed1_test_2013-01_2018-12.csv</x:v>
      </x:c>
    </x:row>
    <x:row r="395" ht="20" customHeight="1">
      <x:c r="A395" s="27" t="str">
        <x:v>CADE-IDS</x:v>
      </x:c>
      <x:c r="B395" s="30" t="str">
        <x:v>2015-07</x:v>
      </x:c>
      <x:c r="C395" s="40" t="n">
        <x:v>100</x:v>
      </x:c>
      <x:c r="D395" s="41" t="n">
        <x:v>0.8924</x:v>
      </x:c>
      <x:c r="E395" s="41" t="n">
        <x:v>0.1656</x:v>
      </x:c>
      <x:c r="F395" s="48" t="str">
        <x:v>experiments/results/cade_ids/100/07.21-16.54.51/cade_ids_apigraph_cnt100_127_seed1_test_2013-01_2018-12.csv</x:v>
      </x:c>
    </x:row>
    <x:row r="396" ht="20" customHeight="1">
      <x:c r="A396" s="27" t="str">
        <x:v>CADE-IDS</x:v>
      </x:c>
      <x:c r="B396" s="30" t="str">
        <x:v>2015-08</x:v>
      </x:c>
      <x:c r="C396" s="40" t="n">
        <x:v>100</x:v>
      </x:c>
      <x:c r="D396" s="41" t="n">
        <x:v>0.9138</x:v>
      </x:c>
      <x:c r="E396" s="41" t="n">
        <x:v>0.134</x:v>
      </x:c>
      <x:c r="F396" s="48" t="str">
        <x:v>experiments/results/cade_ids/100/07.21-16.54.51/cade_ids_apigraph_cnt100_127_seed1_test_2013-01_2018-12.csv</x:v>
      </x:c>
    </x:row>
    <x:row r="397" ht="20" customHeight="1">
      <x:c r="A397" s="27" t="str">
        <x:v>CADE-IDS</x:v>
      </x:c>
      <x:c r="B397" s="30" t="str">
        <x:v>2015-09</x:v>
      </x:c>
      <x:c r="C397" s="40" t="n">
        <x:v>100</x:v>
      </x:c>
      <x:c r="D397" s="41" t="n">
        <x:v>0.8161</x:v>
      </x:c>
      <x:c r="E397" s="41" t="n">
        <x:v>0.2863</x:v>
      </x:c>
      <x:c r="F397" s="48" t="str">
        <x:v>experiments/results/cade_ids/100/07.21-16.54.51/cade_ids_apigraph_cnt100_127_seed1_test_2013-01_2018-12.csv</x:v>
      </x:c>
    </x:row>
    <x:row r="398" ht="20" customHeight="1">
      <x:c r="A398" s="27" t="str">
        <x:v>CADE-IDS</x:v>
      </x:c>
      <x:c r="B398" s="30" t="str">
        <x:v>2015-10</x:v>
      </x:c>
      <x:c r="C398" s="40" t="n">
        <x:v>100</x:v>
      </x:c>
      <x:c r="D398" s="41" t="n">
        <x:v>0.7728</x:v>
      </x:c>
      <x:c r="E398" s="41" t="n">
        <x:v>0.3411</x:v>
      </x:c>
      <x:c r="F398" s="48" t="str">
        <x:v>experiments/results/cade_ids/100/07.21-16.54.51/cade_ids_apigraph_cnt100_127_seed1_test_2013-01_2018-12.csv</x:v>
      </x:c>
    </x:row>
    <x:row r="399" ht="20" customHeight="1">
      <x:c r="A399" s="27" t="str">
        <x:v>CADE-IDS</x:v>
      </x:c>
      <x:c r="B399" s="30" t="str">
        <x:v>2015-11</x:v>
      </x:c>
      <x:c r="C399" s="40" t="n">
        <x:v>100</x:v>
      </x:c>
      <x:c r="D399" s="41" t="n">
        <x:v>0.8591</x:v>
      </x:c>
      <x:c r="E399" s="41" t="n">
        <x:v>0.2193</x:v>
      </x:c>
      <x:c r="F399" s="48" t="str">
        <x:v>experiments/results/cade_ids/100/07.21-16.54.51/cade_ids_apigraph_cnt100_127_seed1_test_2013-01_2018-12.csv</x:v>
      </x:c>
    </x:row>
    <x:row r="400" ht="20" customHeight="1">
      <x:c r="A400" s="27" t="str">
        <x:v>CADE-IDS</x:v>
      </x:c>
      <x:c r="B400" s="30" t="str">
        <x:v>2015-12</x:v>
      </x:c>
      <x:c r="C400" s="40" t="n">
        <x:v>100</x:v>
      </x:c>
      <x:c r="D400" s="41" t="n">
        <x:v>0.8918</x:v>
      </x:c>
      <x:c r="E400" s="41" t="n">
        <x:v>0.1601</x:v>
      </x:c>
      <x:c r="F400" s="48" t="str">
        <x:v>experiments/results/cade_ids/100/07.21-16.54.51/cade_ids_apigraph_cnt100_127_seed1_test_2013-01_2018-12.csv</x:v>
      </x:c>
    </x:row>
    <x:row r="401" ht="20" customHeight="1">
      <x:c r="A401" s="27" t="str">
        <x:v>CADE-IDS</x:v>
      </x:c>
      <x:c r="B401" s="30" t="str">
        <x:v>2016-01</x:v>
      </x:c>
      <x:c r="C401" s="40" t="n">
        <x:v>100</x:v>
      </x:c>
      <x:c r="D401" s="41" t="n">
        <x:v>0.8905</x:v>
      </x:c>
      <x:c r="E401" s="41" t="n">
        <x:v>0.1789</x:v>
      </x:c>
      <x:c r="F401" s="48" t="str">
        <x:v>experiments/results/cade_ids/100/07.21-16.54.51/cade_ids_apigraph_cnt100_127_seed1_test_2013-01_2018-12.csv</x:v>
      </x:c>
    </x:row>
    <x:row r="402" ht="20" customHeight="1">
      <x:c r="A402" s="27" t="str">
        <x:v>CADE-IDS</x:v>
      </x:c>
      <x:c r="B402" s="30" t="str">
        <x:v>2016-02</x:v>
      </x:c>
      <x:c r="C402" s="40" t="n">
        <x:v>100</x:v>
      </x:c>
      <x:c r="D402" s="41" t="n">
        <x:v>0.9284</x:v>
      </x:c>
      <x:c r="E402" s="41" t="n">
        <x:v>0.1037</x:v>
      </x:c>
      <x:c r="F402" s="48" t="str">
        <x:v>experiments/results/cade_ids/100/07.21-16.54.51/cade_ids_apigraph_cnt100_127_seed1_test_2013-01_2018-12.csv</x:v>
      </x:c>
    </x:row>
    <x:row r="403" ht="20" customHeight="1">
      <x:c r="A403" s="27" t="str">
        <x:v>CADE-IDS</x:v>
      </x:c>
      <x:c r="B403" s="30" t="str">
        <x:v>2016-03</x:v>
      </x:c>
      <x:c r="C403" s="40" t="n">
        <x:v>100</x:v>
      </x:c>
      <x:c r="D403" s="41" t="n">
        <x:v>0.92</x:v>
      </x:c>
      <x:c r="E403" s="41" t="n">
        <x:v>0.0993</x:v>
      </x:c>
      <x:c r="F403" s="48" t="str">
        <x:v>experiments/results/cade_ids/100/07.21-16.54.51/cade_ids_apigraph_cnt100_127_seed1_test_2013-01_2018-12.csv</x:v>
      </x:c>
    </x:row>
    <x:row r="404" ht="20" customHeight="1">
      <x:c r="A404" s="27" t="str">
        <x:v>CADE-IDS</x:v>
      </x:c>
      <x:c r="B404" s="30" t="str">
        <x:v>2016-04</x:v>
      </x:c>
      <x:c r="C404" s="40" t="n">
        <x:v>100</x:v>
      </x:c>
      <x:c r="D404" s="41" t="n">
        <x:v>0.8561</x:v>
      </x:c>
      <x:c r="E404" s="41" t="n">
        <x:v>0.1875</x:v>
      </x:c>
      <x:c r="F404" s="48" t="str">
        <x:v>experiments/results/cade_ids/100/07.21-16.54.51/cade_ids_apigraph_cnt100_127_seed1_test_2013-01_2018-12.csv</x:v>
      </x:c>
    </x:row>
    <x:row r="405" ht="20" customHeight="1">
      <x:c r="A405" s="27" t="str">
        <x:v>CADE-IDS</x:v>
      </x:c>
      <x:c r="B405" s="30" t="str">
        <x:v>2016-05</x:v>
      </x:c>
      <x:c r="C405" s="40" t="n">
        <x:v>100</x:v>
      </x:c>
      <x:c r="D405" s="41" t="n">
        <x:v>0.9097</x:v>
      </x:c>
      <x:c r="E405" s="41" t="n">
        <x:v>0.1237</x:v>
      </x:c>
      <x:c r="F405" s="48" t="str">
        <x:v>experiments/results/cade_ids/100/07.21-16.54.51/cade_ids_apigraph_cnt100_127_seed1_test_2013-01_2018-12.csv</x:v>
      </x:c>
    </x:row>
    <x:row r="406" ht="20" customHeight="1">
      <x:c r="A406" s="27" t="str">
        <x:v>CADE-IDS</x:v>
      </x:c>
      <x:c r="B406" s="30" t="str">
        <x:v>2016-06</x:v>
      </x:c>
      <x:c r="C406" s="40" t="n">
        <x:v>100</x:v>
      </x:c>
      <x:c r="D406" s="41" t="n">
        <x:v>0.9234</x:v>
      </x:c>
      <x:c r="E406" s="41" t="n">
        <x:v>0.0935</x:v>
      </x:c>
      <x:c r="F406" s="48" t="str">
        <x:v>experiments/results/cade_ids/100/07.21-16.54.51/cade_ids_apigraph_cnt100_127_seed1_test_2013-01_2018-12.csv</x:v>
      </x:c>
    </x:row>
    <x:row r="407" ht="20" customHeight="1">
      <x:c r="A407" s="27" t="str">
        <x:v>CADE-IDS</x:v>
      </x:c>
      <x:c r="B407" s="30" t="str">
        <x:v>2016-07</x:v>
      </x:c>
      <x:c r="C407" s="40" t="n">
        <x:v>100</x:v>
      </x:c>
      <x:c r="D407" s="41" t="n">
        <x:v>0.9104</x:v>
      </x:c>
      <x:c r="E407" s="41" t="n">
        <x:v>0.1123</x:v>
      </x:c>
      <x:c r="F407" s="48" t="str">
        <x:v>experiments/results/cade_ids/100/07.21-16.54.51/cade_ids_apigraph_cnt100_127_seed1_test_2013-01_2018-12.csv</x:v>
      </x:c>
    </x:row>
    <x:row r="408" ht="20" customHeight="1">
      <x:c r="A408" s="27" t="str">
        <x:v>CADE-IDS</x:v>
      </x:c>
      <x:c r="B408" s="30" t="str">
        <x:v>2016-08</x:v>
      </x:c>
      <x:c r="C408" s="40" t="n">
        <x:v>100</x:v>
      </x:c>
      <x:c r="D408" s="41" t="n">
        <x:v>0.9004</x:v>
      </x:c>
      <x:c r="E408" s="41" t="n">
        <x:v>0.1268</x:v>
      </x:c>
      <x:c r="F408" s="48" t="str">
        <x:v>experiments/results/cade_ids/100/07.21-16.54.51/cade_ids_apigraph_cnt100_127_seed1_test_2013-01_2018-12.csv</x:v>
      </x:c>
    </x:row>
    <x:row r="409" ht="20" customHeight="1">
      <x:c r="A409" s="27" t="str">
        <x:v>CADE-IDS</x:v>
      </x:c>
      <x:c r="B409" s="30" t="str">
        <x:v>2016-09</x:v>
      </x:c>
      <x:c r="C409" s="40" t="n">
        <x:v>100</x:v>
      </x:c>
      <x:c r="D409" s="41" t="n">
        <x:v>0.8855</x:v>
      </x:c>
      <x:c r="E409" s="41" t="n">
        <x:v>0.1765</x:v>
      </x:c>
      <x:c r="F409" s="48" t="str">
        <x:v>experiments/results/cade_ids/100/07.21-16.54.51/cade_ids_apigraph_cnt100_127_seed1_test_2013-01_2018-12.csv</x:v>
      </x:c>
    </x:row>
    <x:row r="410" ht="20" customHeight="1">
      <x:c r="A410" s="27" t="str">
        <x:v>CADE-IDS</x:v>
      </x:c>
      <x:c r="B410" s="30" t="str">
        <x:v>2016-10</x:v>
      </x:c>
      <x:c r="C410" s="40" t="n">
        <x:v>100</x:v>
      </x:c>
      <x:c r="D410" s="41" t="n">
        <x:v>0.8804</x:v>
      </x:c>
      <x:c r="E410" s="41" t="n">
        <x:v>0.1545</x:v>
      </x:c>
      <x:c r="F410" s="48" t="str">
        <x:v>experiments/results/cade_ids/100/07.21-16.54.51/cade_ids_apigraph_cnt100_127_seed1_test_2013-01_2018-12.csv</x:v>
      </x:c>
    </x:row>
    <x:row r="411" ht="20" customHeight="1">
      <x:c r="A411" s="27" t="str">
        <x:v>CADE-IDS</x:v>
      </x:c>
      <x:c r="B411" s="30" t="str">
        <x:v>2016-11</x:v>
      </x:c>
      <x:c r="C411" s="40" t="n">
        <x:v>100</x:v>
      </x:c>
      <x:c r="D411" s="41" t="n">
        <x:v>0.7638</x:v>
      </x:c>
      <x:c r="E411" s="41" t="n">
        <x:v>0.3485</x:v>
      </x:c>
      <x:c r="F411" s="48" t="str">
        <x:v>experiments/results/cade_ids/100/07.21-16.54.51/cade_ids_apigraph_cnt100_127_seed1_test_2013-01_2018-12.csv</x:v>
      </x:c>
    </x:row>
    <x:row r="412" ht="20" customHeight="1">
      <x:c r="A412" s="27" t="str">
        <x:v>CADE-IDS</x:v>
      </x:c>
      <x:c r="B412" s="30" t="str">
        <x:v>2016-12</x:v>
      </x:c>
      <x:c r="C412" s="40" t="n">
        <x:v>100</x:v>
      </x:c>
      <x:c r="D412" s="41" t="n">
        <x:v>0.8351</x:v>
      </x:c>
      <x:c r="E412" s="41" t="n">
        <x:v>0.241</x:v>
      </x:c>
      <x:c r="F412" s="48" t="str">
        <x:v>experiments/results/cade_ids/100/07.21-16.54.51/cade_ids_apigraph_cnt100_127_seed1_test_2013-01_2018-12.csv</x:v>
      </x:c>
    </x:row>
    <x:row r="413" ht="20" customHeight="1">
      <x:c r="A413" s="27" t="str">
        <x:v>CADE-IDS</x:v>
      </x:c>
      <x:c r="B413" s="30" t="str">
        <x:v>2017-01</x:v>
      </x:c>
      <x:c r="C413" s="40" t="n">
        <x:v>100</x:v>
      </x:c>
      <x:c r="D413" s="41" t="n">
        <x:v>0.8826</x:v>
      </x:c>
      <x:c r="E413" s="41" t="n">
        <x:v>0.1656</x:v>
      </x:c>
      <x:c r="F413" s="48" t="str">
        <x:v>experiments/results/cade_ids/100/07.21-16.54.51/cade_ids_apigraph_cnt100_127_seed1_test_2013-01_2018-12.csv</x:v>
      </x:c>
    </x:row>
    <x:row r="414" ht="20" customHeight="1">
      <x:c r="A414" s="27" t="str">
        <x:v>CADE-IDS</x:v>
      </x:c>
      <x:c r="B414" s="30" t="str">
        <x:v>2017-02</x:v>
      </x:c>
      <x:c r="C414" s="40" t="n">
        <x:v>100</x:v>
      </x:c>
      <x:c r="D414" s="41" t="n">
        <x:v>0.9104</x:v>
      </x:c>
      <x:c r="E414" s="41" t="n">
        <x:v>0.1304</x:v>
      </x:c>
      <x:c r="F414" s="48" t="str">
        <x:v>experiments/results/cade_ids/100/07.21-16.54.51/cade_ids_apigraph_cnt100_127_seed1_test_2013-01_2018-12.csv</x:v>
      </x:c>
    </x:row>
    <x:row r="415" ht="20" customHeight="1">
      <x:c r="A415" s="27" t="str">
        <x:v>CADE-IDS</x:v>
      </x:c>
      <x:c r="B415" s="30" t="str">
        <x:v>2017-03</x:v>
      </x:c>
      <x:c r="C415" s="40" t="n">
        <x:v>100</x:v>
      </x:c>
      <x:c r="D415" s="41" t="n">
        <x:v>0.8354</x:v>
      </x:c>
      <x:c r="E415" s="41" t="n">
        <x:v>0.2048</x:v>
      </x:c>
      <x:c r="F415" s="48" t="str">
        <x:v>experiments/results/cade_ids/100/07.21-16.54.51/cade_ids_apigraph_cnt100_127_seed1_test_2013-01_2018-12.csv</x:v>
      </x:c>
    </x:row>
    <x:row r="416" ht="20" customHeight="1">
      <x:c r="A416" s="27" t="str">
        <x:v>CADE-IDS</x:v>
      </x:c>
      <x:c r="B416" s="30" t="str">
        <x:v>2017-04</x:v>
      </x:c>
      <x:c r="C416" s="40" t="n">
        <x:v>100</x:v>
      </x:c>
      <x:c r="D416" s="41" t="n">
        <x:v>0.7664</x:v>
      </x:c>
      <x:c r="E416" s="41" t="n">
        <x:v>0.3226</x:v>
      </x:c>
      <x:c r="F416" s="48" t="str">
        <x:v>experiments/results/cade_ids/100/07.21-16.54.51/cade_ids_apigraph_cnt100_127_seed1_test_2013-01_2018-12.csv</x:v>
      </x:c>
    </x:row>
    <x:row r="417" ht="20" customHeight="1">
      <x:c r="A417" s="27" t="str">
        <x:v>CADE-IDS</x:v>
      </x:c>
      <x:c r="B417" s="30" t="str">
        <x:v>2017-05</x:v>
      </x:c>
      <x:c r="C417" s="40" t="n">
        <x:v>100</x:v>
      </x:c>
      <x:c r="D417" s="41" t="n">
        <x:v>0.8603</x:v>
      </x:c>
      <x:c r="E417" s="41" t="n">
        <x:v>0.2222</x:v>
      </x:c>
      <x:c r="F417" s="48" t="str">
        <x:v>experiments/results/cade_ids/100/07.21-16.54.51/cade_ids_apigraph_cnt100_127_seed1_test_2013-01_2018-12.csv</x:v>
      </x:c>
    </x:row>
    <x:row r="418" ht="20" customHeight="1">
      <x:c r="A418" s="27" t="str">
        <x:v>CADE-IDS</x:v>
      </x:c>
      <x:c r="B418" s="30" t="str">
        <x:v>2017-06</x:v>
      </x:c>
      <x:c r="C418" s="40" t="n">
        <x:v>100</x:v>
      </x:c>
      <x:c r="D418" s="41" t="n">
        <x:v>0.7579</x:v>
      </x:c>
      <x:c r="E418" s="41" t="n">
        <x:v>0.3628</x:v>
      </x:c>
      <x:c r="F418" s="48" t="str">
        <x:v>experiments/results/cade_ids/100/07.21-16.54.51/cade_ids_apigraph_cnt100_127_seed1_test_2013-01_2018-12.csv</x:v>
      </x:c>
    </x:row>
    <x:row r="419" ht="20" customHeight="1">
      <x:c r="A419" s="27" t="str">
        <x:v>CADE-IDS</x:v>
      </x:c>
      <x:c r="B419" s="30" t="str">
        <x:v>2017-07</x:v>
      </x:c>
      <x:c r="C419" s="40" t="n">
        <x:v>100</x:v>
      </x:c>
      <x:c r="D419" s="41" t="n">
        <x:v>0.8883</x:v>
      </x:c>
      <x:c r="E419" s="41" t="n">
        <x:v>0.1497</x:v>
      </x:c>
      <x:c r="F419" s="48" t="str">
        <x:v>experiments/results/cade_ids/100/07.21-16.54.51/cade_ids_apigraph_cnt100_127_seed1_test_2013-01_2018-12.csv</x:v>
      </x:c>
    </x:row>
    <x:row r="420" ht="20" customHeight="1">
      <x:c r="A420" s="27" t="str">
        <x:v>CADE-IDS</x:v>
      </x:c>
      <x:c r="B420" s="30" t="str">
        <x:v>2017-08</x:v>
      </x:c>
      <x:c r="C420" s="40" t="n">
        <x:v>100</x:v>
      </x:c>
      <x:c r="D420" s="41" t="n">
        <x:v>0.9436</x:v>
      </x:c>
      <x:c r="E420" s="41" t="n">
        <x:v>0.0676</x:v>
      </x:c>
      <x:c r="F420" s="48" t="str">
        <x:v>experiments/results/cade_ids/100/07.21-16.54.51/cade_ids_apigraph_cnt100_127_seed1_test_2013-01_2018-12.csv</x:v>
      </x:c>
    </x:row>
    <x:row r="421" ht="20" customHeight="1">
      <x:c r="A421" s="27" t="str">
        <x:v>CADE-IDS</x:v>
      </x:c>
      <x:c r="B421" s="30" t="str">
        <x:v>2017-09</x:v>
      </x:c>
      <x:c r="C421" s="40" t="n">
        <x:v>100</x:v>
      </x:c>
      <x:c r="D421" s="41" t="n">
        <x:v>0.9136</x:v>
      </x:c>
      <x:c r="E421" s="41" t="n">
        <x:v>0.0573</x:v>
      </x:c>
      <x:c r="F421" s="48" t="str">
        <x:v>experiments/results/cade_ids/100/07.21-16.54.51/cade_ids_apigraph_cnt100_127_seed1_test_2013-01_2018-12.csv</x:v>
      </x:c>
    </x:row>
    <x:row r="422" ht="20" customHeight="1">
      <x:c r="A422" s="27" t="str">
        <x:v>CADE-IDS</x:v>
      </x:c>
      <x:c r="B422" s="30" t="str">
        <x:v>2017-10</x:v>
      </x:c>
      <x:c r="C422" s="40" t="n">
        <x:v>100</x:v>
      </x:c>
      <x:c r="D422" s="41" t="n">
        <x:v>0.8712</x:v>
      </x:c>
      <x:c r="E422" s="41" t="n">
        <x:v>0.1584</x:v>
      </x:c>
      <x:c r="F422" s="48" t="str">
        <x:v>experiments/results/cade_ids/100/07.21-16.54.51/cade_ids_apigraph_cnt100_127_seed1_test_2013-01_2018-12.csv</x:v>
      </x:c>
    </x:row>
    <x:row r="423" ht="20" customHeight="1">
      <x:c r="A423" s="27" t="str">
        <x:v>CADE-IDS</x:v>
      </x:c>
      <x:c r="B423" s="30" t="str">
        <x:v>2017-11</x:v>
      </x:c>
      <x:c r="C423" s="40" t="n">
        <x:v>100</x:v>
      </x:c>
      <x:c r="D423" s="41" t="n">
        <x:v>0.8901</x:v>
      </x:c>
      <x:c r="E423" s="41" t="n">
        <x:v>0.1196</x:v>
      </x:c>
      <x:c r="F423" s="48" t="str">
        <x:v>experiments/results/cade_ids/100/07.21-16.54.51/cade_ids_apigraph_cnt100_127_seed1_test_2013-01_2018-12.csv</x:v>
      </x:c>
    </x:row>
    <x:row r="424" ht="20" customHeight="1">
      <x:c r="A424" s="27" t="str">
        <x:v>CADE-IDS</x:v>
      </x:c>
      <x:c r="B424" s="30" t="str">
        <x:v>2017-12</x:v>
      </x:c>
      <x:c r="C424" s="40" t="n">
        <x:v>100</x:v>
      </x:c>
      <x:c r="D424" s="41" t="n">
        <x:v>0.8872</x:v>
      </x:c>
      <x:c r="E424" s="41" t="n">
        <x:v>0.056</x:v>
      </x:c>
      <x:c r="F424" s="48" t="str">
        <x:v>experiments/results/cade_ids/100/07.21-16.54.51/cade_ids_apigraph_cnt100_127_seed1_test_2013-01_2018-12.csv</x:v>
      </x:c>
    </x:row>
    <x:row r="425" ht="20" customHeight="1">
      <x:c r="A425" s="27" t="str">
        <x:v>CADE-IDS</x:v>
      </x:c>
      <x:c r="B425" s="30" t="str">
        <x:v>2018-01</x:v>
      </x:c>
      <x:c r="C425" s="40" t="n">
        <x:v>100</x:v>
      </x:c>
      <x:c r="D425" s="41" t="n">
        <x:v>0.8816</x:v>
      </x:c>
      <x:c r="E425" s="41" t="n">
        <x:v>0.1242</x:v>
      </x:c>
      <x:c r="F425" s="48" t="str">
        <x:v>experiments/results/cade_ids/100/07.21-16.54.51/cade_ids_apigraph_cnt100_127_seed1_test_2013-01_2018-12.csv</x:v>
      </x:c>
    </x:row>
    <x:row r="426" ht="20" customHeight="1">
      <x:c r="A426" s="27" t="str">
        <x:v>CADE-IDS</x:v>
      </x:c>
      <x:c r="B426" s="30" t="str">
        <x:v>2018-02</x:v>
      </x:c>
      <x:c r="C426" s="40" t="n">
        <x:v>100</x:v>
      </x:c>
      <x:c r="D426" s="41" t="n">
        <x:v>0.8803</x:v>
      </x:c>
      <x:c r="E426" s="41" t="n">
        <x:v>0.1379</x:v>
      </x:c>
      <x:c r="F426" s="48" t="str">
        <x:v>experiments/results/cade_ids/100/07.21-16.54.51/cade_ids_apigraph_cnt100_127_seed1_test_2013-01_2018-12.csv</x:v>
      </x:c>
    </x:row>
    <x:row r="427" ht="20" customHeight="1">
      <x:c r="A427" s="27" t="str">
        <x:v>CADE-IDS</x:v>
      </x:c>
      <x:c r="B427" s="30" t="str">
        <x:v>2018-03</x:v>
      </x:c>
      <x:c r="C427" s="40" t="n">
        <x:v>100</x:v>
      </x:c>
      <x:c r="D427" s="41" t="n">
        <x:v>0.881</x:v>
      </x:c>
      <x:c r="E427" s="41" t="n">
        <x:v>0.0949</x:v>
      </x:c>
      <x:c r="F427" s="48" t="str">
        <x:v>experiments/results/cade_ids/100/07.21-16.54.51/cade_ids_apigraph_cnt100_127_seed1_test_2013-01_2018-12.csv</x:v>
      </x:c>
    </x:row>
    <x:row r="428" ht="20" customHeight="1">
      <x:c r="A428" s="27" t="str">
        <x:v>CADE-IDS</x:v>
      </x:c>
      <x:c r="B428" s="30" t="str">
        <x:v>2018-04</x:v>
      </x:c>
      <x:c r="C428" s="40" t="n">
        <x:v>100</x:v>
      </x:c>
      <x:c r="D428" s="41" t="n">
        <x:v>0.9225</x:v>
      </x:c>
      <x:c r="E428" s="41" t="n">
        <x:v>0.0676</x:v>
      </x:c>
      <x:c r="F428" s="48" t="str">
        <x:v>experiments/results/cade_ids/100/07.21-16.54.51/cade_ids_apigraph_cnt100_127_seed1_test_2013-01_2018-12.csv</x:v>
      </x:c>
    </x:row>
    <x:row r="429" ht="20" customHeight="1">
      <x:c r="A429" s="27" t="str">
        <x:v>CADE-IDS</x:v>
      </x:c>
      <x:c r="B429" s="30" t="str">
        <x:v>2018-05</x:v>
      </x:c>
      <x:c r="C429" s="40" t="n">
        <x:v>100</x:v>
      </x:c>
      <x:c r="D429" s="41" t="n">
        <x:v>0.7191</x:v>
      </x:c>
      <x:c r="E429" s="41" t="n">
        <x:v>0.0744</x:v>
      </x:c>
      <x:c r="F429" s="48" t="str">
        <x:v>experiments/results/cade_ids/100/07.21-16.54.51/cade_ids_apigraph_cnt100_127_seed1_test_2013-01_2018-12.csv</x:v>
      </x:c>
    </x:row>
    <x:row r="430" ht="20" customHeight="1">
      <x:c r="A430" s="27" t="str">
        <x:v>CADE-IDS</x:v>
      </x:c>
      <x:c r="B430" s="30" t="str">
        <x:v>2018-06</x:v>
      </x:c>
      <x:c r="C430" s="40" t="n">
        <x:v>100</x:v>
      </x:c>
      <x:c r="D430" s="41" t="n">
        <x:v>0.825</x:v>
      </x:c>
      <x:c r="E430" s="41" t="n">
        <x:v>0.1715</x:v>
      </x:c>
      <x:c r="F430" s="48" t="str">
        <x:v>experiments/results/cade_ids/100/07.21-16.54.51/cade_ids_apigraph_cnt100_127_seed1_test_2013-01_2018-12.csv</x:v>
      </x:c>
    </x:row>
    <x:row r="431" ht="20" customHeight="1">
      <x:c r="A431" s="27" t="str">
        <x:v>CADE-IDS</x:v>
      </x:c>
      <x:c r="B431" s="30" t="str">
        <x:v>2018-07</x:v>
      </x:c>
      <x:c r="C431" s="40" t="n">
        <x:v>100</x:v>
      </x:c>
      <x:c r="D431" s="41" t="n">
        <x:v>0.7977</x:v>
      </x:c>
      <x:c r="E431" s="41" t="n">
        <x:v>0.2807</x:v>
      </x:c>
      <x:c r="F431" s="48" t="str">
        <x:v>experiments/results/cade_ids/100/07.21-16.54.51/cade_ids_apigraph_cnt100_127_seed1_test_2013-01_2018-12.csv</x:v>
      </x:c>
    </x:row>
    <x:row r="432" ht="20" customHeight="1">
      <x:c r="A432" s="27" t="str">
        <x:v>CADE-IDS</x:v>
      </x:c>
      <x:c r="B432" s="30" t="str">
        <x:v>2018-08</x:v>
      </x:c>
      <x:c r="C432" s="40" t="n">
        <x:v>100</x:v>
      </x:c>
      <x:c r="D432" s="41" t="n">
        <x:v>0.8192</x:v>
      </x:c>
      <x:c r="E432" s="41" t="n">
        <x:v>0.1203</x:v>
      </x:c>
      <x:c r="F432" s="48" t="str">
        <x:v>experiments/results/cade_ids/100/07.21-16.54.51/cade_ids_apigraph_cnt100_127_seed1_test_2013-01_2018-12.csv</x:v>
      </x:c>
    </x:row>
    <x:row r="433" ht="20" customHeight="1">
      <x:c r="A433" s="27" t="str">
        <x:v>CADE-IDS</x:v>
      </x:c>
      <x:c r="B433" s="30" t="str">
        <x:v>2018-09</x:v>
      </x:c>
      <x:c r="C433" s="40" t="n">
        <x:v>100</x:v>
      </x:c>
      <x:c r="D433" s="41" t="n">
        <x:v>0.8211</x:v>
      </x:c>
      <x:c r="E433" s="41" t="n">
        <x:v>0.1834</x:v>
      </x:c>
      <x:c r="F433" s="48" t="str">
        <x:v>experiments/results/cade_ids/100/07.21-16.54.51/cade_ids_apigraph_cnt100_127_seed1_test_2013-01_2018-12.csv</x:v>
      </x:c>
    </x:row>
    <x:row r="434" ht="20" customHeight="1">
      <x:c r="A434" s="27" t="str">
        <x:v>CADE-IDS</x:v>
      </x:c>
      <x:c r="B434" s="30" t="str">
        <x:v>2018-10</x:v>
      </x:c>
      <x:c r="C434" s="40" t="n">
        <x:v>100</x:v>
      </x:c>
      <x:c r="D434" s="41" t="n">
        <x:v>0.8593</x:v>
      </x:c>
      <x:c r="E434" s="41" t="n">
        <x:v>0.1886</x:v>
      </x:c>
      <x:c r="F434" s="48" t="str">
        <x:v>experiments/results/cade_ids/100/07.21-16.54.51/cade_ids_apigraph_cnt100_127_seed1_test_2013-01_2018-12.csv</x:v>
      </x:c>
    </x:row>
    <x:row r="435" ht="20" customHeight="1">
      <x:c r="A435" s="27" t="str">
        <x:v>CADE-IDS</x:v>
      </x:c>
      <x:c r="B435" s="30" t="str">
        <x:v>2018-11</x:v>
      </x:c>
      <x:c r="C435" s="40" t="n">
        <x:v>100</x:v>
      </x:c>
      <x:c r="D435" s="41" t="n">
        <x:v>0.9477</x:v>
      </x:c>
      <x:c r="E435" s="41" t="n">
        <x:v>0.0523</x:v>
      </x:c>
      <x:c r="F435" s="48" t="str">
        <x:v>experiments/results/cade_ids/100/07.21-16.54.51/cade_ids_apigraph_cnt100_127_seed1_test_2013-01_2018-12.csv</x:v>
      </x:c>
    </x:row>
    <x:row r="436" ht="20" customHeight="1">
      <x:c r="A436" s="27" t="str">
        <x:v>CADE-IDS</x:v>
      </x:c>
      <x:c r="B436" s="30" t="str">
        <x:v>2018-12</x:v>
      </x:c>
      <x:c r="C436" s="40" t="n">
        <x:v>100</x:v>
      </x:c>
      <x:c r="D436" s="41" t="n">
        <x:v>0.9514</x:v>
      </x:c>
      <x:c r="E436" s="41" t="n">
        <x:v>0.0363</x:v>
      </x:c>
      <x:c r="F436" s="48" t="str">
        <x:v>experiments/results/cade_ids/100/07.21-16.54.51/cade_ids_apigraph_cnt100_127_seed1_test_2013-01_2018-12.csv</x:v>
      </x:c>
    </x:row>
    <x:row r="437" ht="20" customHeight="1">
      <x:c r="A437" s="27" t="str">
        <x:v>CADE-IDS</x:v>
      </x:c>
      <x:c r="B437" s="30" t="str">
        <x:v>2013-01</x:v>
      </x:c>
      <x:c r="C437" s="40" t="n">
        <x:v>200</x:v>
      </x:c>
      <x:c r="D437" s="41" t="n">
        <x:v>0.9558</x:v>
      </x:c>
      <x:c r="E437" s="41" t="n">
        <x:v>0.026</x:v>
      </x:c>
      <x:c r="F437" s="48" t="str">
        <x:v>experiments/results/cade_ids/200/07.21-22.00.41/cade_ids_apigraph_cnt200_127_seed1_test_2013-01_2018-12.csv</x:v>
      </x:c>
    </x:row>
    <x:row r="438" ht="20" customHeight="1">
      <x:c r="A438" s="27" t="str">
        <x:v>CADE-IDS</x:v>
      </x:c>
      <x:c r="B438" s="30" t="str">
        <x:v>2013-02</x:v>
      </x:c>
      <x:c r="C438" s="40" t="n">
        <x:v>200</x:v>
      </x:c>
      <x:c r="D438" s="41" t="n">
        <x:v>0.8863</x:v>
      </x:c>
      <x:c r="E438" s="41" t="n">
        <x:v>0.1719</x:v>
      </x:c>
      <x:c r="F438" s="48" t="str">
        <x:v>experiments/results/cade_ids/200/07.21-22.00.41/cade_ids_apigraph_cnt200_127_seed1_test_2013-01_2018-12.csv</x:v>
      </x:c>
    </x:row>
    <x:row r="439" ht="20" customHeight="1">
      <x:c r="A439" s="27" t="str">
        <x:v>CADE-IDS</x:v>
      </x:c>
      <x:c r="B439" s="30" t="str">
        <x:v>2013-03</x:v>
      </x:c>
      <x:c r="C439" s="40" t="n">
        <x:v>200</x:v>
      </x:c>
      <x:c r="D439" s="41" t="n">
        <x:v>0.8847</x:v>
      </x:c>
      <x:c r="E439" s="41" t="n">
        <x:v>0.1573</x:v>
      </x:c>
      <x:c r="F439" s="48" t="str">
        <x:v>experiments/results/cade_ids/200/07.21-22.00.41/cade_ids_apigraph_cnt200_127_seed1_test_2013-01_2018-12.csv</x:v>
      </x:c>
    </x:row>
    <x:row r="440" ht="20" customHeight="1">
      <x:c r="A440" s="27" t="str">
        <x:v>CADE-IDS</x:v>
      </x:c>
      <x:c r="B440" s="30" t="str">
        <x:v>2013-04</x:v>
      </x:c>
      <x:c r="C440" s="40" t="n">
        <x:v>200</x:v>
      </x:c>
      <x:c r="D440" s="41" t="n">
        <x:v>0.9141</x:v>
      </x:c>
      <x:c r="E440" s="41" t="n">
        <x:v>0.1388</x:v>
      </x:c>
      <x:c r="F440" s="48" t="str">
        <x:v>experiments/results/cade_ids/200/07.21-22.00.41/cade_ids_apigraph_cnt200_127_seed1_test_2013-01_2018-12.csv</x:v>
      </x:c>
    </x:row>
    <x:row r="441" ht="20" customHeight="1">
      <x:c r="A441" s="27" t="str">
        <x:v>CADE-IDS</x:v>
      </x:c>
      <x:c r="B441" s="30" t="str">
        <x:v>2013-05</x:v>
      </x:c>
      <x:c r="C441" s="40" t="n">
        <x:v>200</x:v>
      </x:c>
      <x:c r="D441" s="41" t="n">
        <x:v>0.9049</x:v>
      </x:c>
      <x:c r="E441" s="41" t="n">
        <x:v>0.1411</x:v>
      </x:c>
      <x:c r="F441" s="48" t="str">
        <x:v>experiments/results/cade_ids/200/07.21-22.00.41/cade_ids_apigraph_cnt200_127_seed1_test_2013-01_2018-12.csv</x:v>
      </x:c>
    </x:row>
    <x:row r="442" ht="20" customHeight="1">
      <x:c r="A442" s="27" t="str">
        <x:v>CADE-IDS</x:v>
      </x:c>
      <x:c r="B442" s="30" t="str">
        <x:v>2013-06</x:v>
      </x:c>
      <x:c r="C442" s="40" t="n">
        <x:v>200</x:v>
      </x:c>
      <x:c r="D442" s="41" t="n">
        <x:v>0.8977</x:v>
      </x:c>
      <x:c r="E442" s="41" t="n">
        <x:v>0.1302</x:v>
      </x:c>
      <x:c r="F442" s="48" t="str">
        <x:v>experiments/results/cade_ids/200/07.21-22.00.41/cade_ids_apigraph_cnt200_127_seed1_test_2013-01_2018-12.csv</x:v>
      </x:c>
    </x:row>
    <x:row r="443" ht="20" customHeight="1">
      <x:c r="A443" s="27" t="str">
        <x:v>CADE-IDS</x:v>
      </x:c>
      <x:c r="B443" s="30" t="str">
        <x:v>2013-07</x:v>
      </x:c>
      <x:c r="C443" s="40" t="n">
        <x:v>200</x:v>
      </x:c>
      <x:c r="D443" s="41" t="n">
        <x:v>0.9076</x:v>
      </x:c>
      <x:c r="E443" s="41" t="n">
        <x:v>0.1265</x:v>
      </x:c>
      <x:c r="F443" s="48" t="str">
        <x:v>experiments/results/cade_ids/200/07.21-22.00.41/cade_ids_apigraph_cnt200_127_seed1_test_2013-01_2018-12.csv</x:v>
      </x:c>
    </x:row>
    <x:row r="444" ht="20" customHeight="1">
      <x:c r="A444" s="27" t="str">
        <x:v>CADE-IDS</x:v>
      </x:c>
      <x:c r="B444" s="30" t="str">
        <x:v>2013-08</x:v>
      </x:c>
      <x:c r="C444" s="40" t="n">
        <x:v>200</x:v>
      </x:c>
      <x:c r="D444" s="41" t="n">
        <x:v>0.8951</x:v>
      </x:c>
      <x:c r="E444" s="41" t="n">
        <x:v>0.1364</x:v>
      </x:c>
      <x:c r="F444" s="48" t="str">
        <x:v>experiments/results/cade_ids/200/07.21-22.00.41/cade_ids_apigraph_cnt200_127_seed1_test_2013-01_2018-12.csv</x:v>
      </x:c>
    </x:row>
    <x:row r="445" ht="20" customHeight="1">
      <x:c r="A445" s="27" t="str">
        <x:v>CADE-IDS</x:v>
      </x:c>
      <x:c r="B445" s="30" t="str">
        <x:v>2013-09</x:v>
      </x:c>
      <x:c r="C445" s="40" t="n">
        <x:v>200</x:v>
      </x:c>
      <x:c r="D445" s="41" t="n">
        <x:v>0.8869</x:v>
      </x:c>
      <x:c r="E445" s="41" t="n">
        <x:v>0.13</x:v>
      </x:c>
      <x:c r="F445" s="48" t="str">
        <x:v>experiments/results/cade_ids/200/07.21-22.00.41/cade_ids_apigraph_cnt200_127_seed1_test_2013-01_2018-12.csv</x:v>
      </x:c>
    </x:row>
    <x:row r="446" ht="20" customHeight="1">
      <x:c r="A446" s="27" t="str">
        <x:v>CADE-IDS</x:v>
      </x:c>
      <x:c r="B446" s="30" t="str">
        <x:v>2013-10</x:v>
      </x:c>
      <x:c r="C446" s="40" t="n">
        <x:v>200</x:v>
      </x:c>
      <x:c r="D446" s="41" t="n">
        <x:v>0.8964</x:v>
      </x:c>
      <x:c r="E446" s="41" t="n">
        <x:v>0.1503</x:v>
      </x:c>
      <x:c r="F446" s="48" t="str">
        <x:v>experiments/results/cade_ids/200/07.21-22.00.41/cade_ids_apigraph_cnt200_127_seed1_test_2013-01_2018-12.csv</x:v>
      </x:c>
    </x:row>
    <x:row r="447" ht="20" customHeight="1">
      <x:c r="A447" s="27" t="str">
        <x:v>CADE-IDS</x:v>
      </x:c>
      <x:c r="B447" s="30" t="str">
        <x:v>2013-11</x:v>
      </x:c>
      <x:c r="C447" s="40" t="n">
        <x:v>200</x:v>
      </x:c>
      <x:c r="D447" s="41" t="n">
        <x:v>0.8803</x:v>
      </x:c>
      <x:c r="E447" s="41" t="n">
        <x:v>0.1677</x:v>
      </x:c>
      <x:c r="F447" s="48" t="str">
        <x:v>experiments/results/cade_ids/200/07.21-22.00.41/cade_ids_apigraph_cnt200_127_seed1_test_2013-01_2018-12.csv</x:v>
      </x:c>
    </x:row>
    <x:row r="448" ht="20" customHeight="1">
      <x:c r="A448" s="27" t="str">
        <x:v>CADE-IDS</x:v>
      </x:c>
      <x:c r="B448" s="30" t="str">
        <x:v>2013-12</x:v>
      </x:c>
      <x:c r="C448" s="40" t="n">
        <x:v>200</x:v>
      </x:c>
      <x:c r="D448" s="41" t="n">
        <x:v>0.8804</x:v>
      </x:c>
      <x:c r="E448" s="41" t="n">
        <x:v>0.1884</x:v>
      </x:c>
      <x:c r="F448" s="48" t="str">
        <x:v>experiments/results/cade_ids/200/07.21-22.00.41/cade_ids_apigraph_cnt200_127_seed1_test_2013-01_2018-12.csv</x:v>
      </x:c>
    </x:row>
    <x:row r="449" ht="20" customHeight="1">
      <x:c r="A449" s="27" t="str">
        <x:v>CADE-IDS</x:v>
      </x:c>
      <x:c r="B449" s="30" t="str">
        <x:v>2014-01</x:v>
      </x:c>
      <x:c r="C449" s="40" t="n">
        <x:v>200</x:v>
      </x:c>
      <x:c r="D449" s="41" t="n">
        <x:v>0.864</x:v>
      </x:c>
      <x:c r="E449" s="41" t="n">
        <x:v>0.2008</x:v>
      </x:c>
      <x:c r="F449" s="48" t="str">
        <x:v>experiments/results/cade_ids/200/07.21-22.00.41/cade_ids_apigraph_cnt200_127_seed1_test_2013-01_2018-12.csv</x:v>
      </x:c>
    </x:row>
    <x:row r="450" ht="20" customHeight="1">
      <x:c r="A450" s="27" t="str">
        <x:v>CADE-IDS</x:v>
      </x:c>
      <x:c r="B450" s="30" t="str">
        <x:v>2014-02</x:v>
      </x:c>
      <x:c r="C450" s="40" t="n">
        <x:v>200</x:v>
      </x:c>
      <x:c r="D450" s="41" t="n">
        <x:v>0.9167</x:v>
      </x:c>
      <x:c r="E450" s="41" t="n">
        <x:v>0.0889</x:v>
      </x:c>
      <x:c r="F450" s="48" t="str">
        <x:v>experiments/results/cade_ids/200/07.21-22.00.41/cade_ids_apigraph_cnt200_127_seed1_test_2013-01_2018-12.csv</x:v>
      </x:c>
    </x:row>
    <x:row r="451" ht="20" customHeight="1">
      <x:c r="A451" s="27" t="str">
        <x:v>CADE-IDS</x:v>
      </x:c>
      <x:c r="B451" s="30" t="str">
        <x:v>2014-03</x:v>
      </x:c>
      <x:c r="C451" s="40" t="n">
        <x:v>200</x:v>
      </x:c>
      <x:c r="D451" s="41" t="n">
        <x:v>0.8741</x:v>
      </x:c>
      <x:c r="E451" s="41" t="n">
        <x:v>0.1498</x:v>
      </x:c>
      <x:c r="F451" s="48" t="str">
        <x:v>experiments/results/cade_ids/200/07.21-22.00.41/cade_ids_apigraph_cnt200_127_seed1_test_2013-01_2018-12.csv</x:v>
      </x:c>
    </x:row>
    <x:row r="452" ht="20" customHeight="1">
      <x:c r="A452" s="27" t="str">
        <x:v>CADE-IDS</x:v>
      </x:c>
      <x:c r="B452" s="30" t="str">
        <x:v>2014-04</x:v>
      </x:c>
      <x:c r="C452" s="40" t="n">
        <x:v>200</x:v>
      </x:c>
      <x:c r="D452" s="41" t="n">
        <x:v>0.8598</x:v>
      </x:c>
      <x:c r="E452" s="41" t="n">
        <x:v>0.1568</x:v>
      </x:c>
      <x:c r="F452" s="48" t="str">
        <x:v>experiments/results/cade_ids/200/07.21-22.00.41/cade_ids_apigraph_cnt200_127_seed1_test_2013-01_2018-12.csv</x:v>
      </x:c>
    </x:row>
    <x:row r="453" ht="20" customHeight="1">
      <x:c r="A453" s="27" t="str">
        <x:v>CADE-IDS</x:v>
      </x:c>
      <x:c r="B453" s="30" t="str">
        <x:v>2014-05</x:v>
      </x:c>
      <x:c r="C453" s="40" t="n">
        <x:v>200</x:v>
      </x:c>
      <x:c r="D453" s="41" t="n">
        <x:v>0.8903</x:v>
      </x:c>
      <x:c r="E453" s="41" t="n">
        <x:v>0.1348</x:v>
      </x:c>
      <x:c r="F453" s="48" t="str">
        <x:v>experiments/results/cade_ids/200/07.21-22.00.41/cade_ids_apigraph_cnt200_127_seed1_test_2013-01_2018-12.csv</x:v>
      </x:c>
    </x:row>
    <x:row r="454" ht="20" customHeight="1">
      <x:c r="A454" s="27" t="str">
        <x:v>CADE-IDS</x:v>
      </x:c>
      <x:c r="B454" s="30" t="str">
        <x:v>2014-06</x:v>
      </x:c>
      <x:c r="C454" s="40" t="n">
        <x:v>200</x:v>
      </x:c>
      <x:c r="D454" s="41" t="n">
        <x:v>0.7836</x:v>
      </x:c>
      <x:c r="E454" s="41" t="n">
        <x:v>0.3092</x:v>
      </x:c>
      <x:c r="F454" s="48" t="str">
        <x:v>experiments/results/cade_ids/200/07.21-22.00.41/cade_ids_apigraph_cnt200_127_seed1_test_2013-01_2018-12.csv</x:v>
      </x:c>
    </x:row>
    <x:row r="455" ht="20" customHeight="1">
      <x:c r="A455" s="27" t="str">
        <x:v>CADE-IDS</x:v>
      </x:c>
      <x:c r="B455" s="30" t="str">
        <x:v>2014-07</x:v>
      </x:c>
      <x:c r="C455" s="40" t="n">
        <x:v>200</x:v>
      </x:c>
      <x:c r="D455" s="41" t="n">
        <x:v>0.8116</x:v>
      </x:c>
      <x:c r="E455" s="41" t="n">
        <x:v>0.2705</x:v>
      </x:c>
      <x:c r="F455" s="48" t="str">
        <x:v>experiments/results/cade_ids/200/07.21-22.00.41/cade_ids_apigraph_cnt200_127_seed1_test_2013-01_2018-12.csv</x:v>
      </x:c>
    </x:row>
    <x:row r="456" ht="20" customHeight="1">
      <x:c r="A456" s="27" t="str">
        <x:v>CADE-IDS</x:v>
      </x:c>
      <x:c r="B456" s="30" t="str">
        <x:v>2014-08</x:v>
      </x:c>
      <x:c r="C456" s="40" t="n">
        <x:v>200</x:v>
      </x:c>
      <x:c r="D456" s="41" t="n">
        <x:v>0.8229</x:v>
      </x:c>
      <x:c r="E456" s="41" t="n">
        <x:v>0.2601</x:v>
      </x:c>
      <x:c r="F456" s="48" t="str">
        <x:v>experiments/results/cade_ids/200/07.21-22.00.41/cade_ids_apigraph_cnt200_127_seed1_test_2013-01_2018-12.csv</x:v>
      </x:c>
    </x:row>
    <x:row r="457" ht="20" customHeight="1">
      <x:c r="A457" s="27" t="str">
        <x:v>CADE-IDS</x:v>
      </x:c>
      <x:c r="B457" s="30" t="str">
        <x:v>2014-09</x:v>
      </x:c>
      <x:c r="C457" s="40" t="n">
        <x:v>200</x:v>
      </x:c>
      <x:c r="D457" s="41" t="n">
        <x:v>0.8468</x:v>
      </x:c>
      <x:c r="E457" s="41" t="n">
        <x:v>0.2275</x:v>
      </x:c>
      <x:c r="F457" s="48" t="str">
        <x:v>experiments/results/cade_ids/200/07.21-22.00.41/cade_ids_apigraph_cnt200_127_seed1_test_2013-01_2018-12.csv</x:v>
      </x:c>
    </x:row>
    <x:row r="458" ht="20" customHeight="1">
      <x:c r="A458" s="27" t="str">
        <x:v>CADE-IDS</x:v>
      </x:c>
      <x:c r="B458" s="30" t="str">
        <x:v>2014-10</x:v>
      </x:c>
      <x:c r="C458" s="40" t="n">
        <x:v>200</x:v>
      </x:c>
      <x:c r="D458" s="41" t="n">
        <x:v>0.7977</x:v>
      </x:c>
      <x:c r="E458" s="41" t="n">
        <x:v>0.2904</x:v>
      </x:c>
      <x:c r="F458" s="48" t="str">
        <x:v>experiments/results/cade_ids/200/07.21-22.00.41/cade_ids_apigraph_cnt200_127_seed1_test_2013-01_2018-12.csv</x:v>
      </x:c>
    </x:row>
    <x:row r="459" ht="20" customHeight="1">
      <x:c r="A459" s="27" t="str">
        <x:v>CADE-IDS</x:v>
      </x:c>
      <x:c r="B459" s="30" t="str">
        <x:v>2014-11</x:v>
      </x:c>
      <x:c r="C459" s="40" t="n">
        <x:v>200</x:v>
      </x:c>
      <x:c r="D459" s="41" t="n">
        <x:v>0.9006</x:v>
      </x:c>
      <x:c r="E459" s="41" t="n">
        <x:v>0.1176</x:v>
      </x:c>
      <x:c r="F459" s="48" t="str">
        <x:v>experiments/results/cade_ids/200/07.21-22.00.41/cade_ids_apigraph_cnt200_127_seed1_test_2013-01_2018-12.csv</x:v>
      </x:c>
    </x:row>
    <x:row r="460" ht="20" customHeight="1">
      <x:c r="A460" s="27" t="str">
        <x:v>CADE-IDS</x:v>
      </x:c>
      <x:c r="B460" s="30" t="str">
        <x:v>2014-12</x:v>
      </x:c>
      <x:c r="C460" s="40" t="n">
        <x:v>200</x:v>
      </x:c>
      <x:c r="D460" s="41" t="n">
        <x:v>0.8625</x:v>
      </x:c>
      <x:c r="E460" s="41" t="n">
        <x:v>0.211</x:v>
      </x:c>
      <x:c r="F460" s="48" t="str">
        <x:v>experiments/results/cade_ids/200/07.21-22.00.41/cade_ids_apigraph_cnt200_127_seed1_test_2013-01_2018-12.csv</x:v>
      </x:c>
    </x:row>
    <x:row r="461" ht="20" customHeight="1">
      <x:c r="A461" s="27" t="str">
        <x:v>CADE-IDS</x:v>
      </x:c>
      <x:c r="B461" s="30" t="str">
        <x:v>2015-01</x:v>
      </x:c>
      <x:c r="C461" s="40" t="n">
        <x:v>200</x:v>
      </x:c>
      <x:c r="D461" s="41" t="n">
        <x:v>0.8756</x:v>
      </x:c>
      <x:c r="E461" s="41" t="n">
        <x:v>0.1904</x:v>
      </x:c>
      <x:c r="F461" s="48" t="str">
        <x:v>experiments/results/cade_ids/200/07.21-22.00.41/cade_ids_apigraph_cnt200_127_seed1_test_2013-01_2018-12.csv</x:v>
      </x:c>
    </x:row>
    <x:row r="462" ht="20" customHeight="1">
      <x:c r="A462" s="27" t="str">
        <x:v>CADE-IDS</x:v>
      </x:c>
      <x:c r="B462" s="30" t="str">
        <x:v>2015-02</x:v>
      </x:c>
      <x:c r="C462" s="40" t="n">
        <x:v>200</x:v>
      </x:c>
      <x:c r="D462" s="41" t="n">
        <x:v>0.9198</x:v>
      </x:c>
      <x:c r="E462" s="41" t="n">
        <x:v>0.1079</x:v>
      </x:c>
      <x:c r="F462" s="48" t="str">
        <x:v>experiments/results/cade_ids/200/07.21-22.00.41/cade_ids_apigraph_cnt200_127_seed1_test_2013-01_2018-12.csv</x:v>
      </x:c>
    </x:row>
    <x:row r="463" ht="20" customHeight="1">
      <x:c r="A463" s="27" t="str">
        <x:v>CADE-IDS</x:v>
      </x:c>
      <x:c r="B463" s="30" t="str">
        <x:v>2015-03</x:v>
      </x:c>
      <x:c r="C463" s="40" t="n">
        <x:v>200</x:v>
      </x:c>
      <x:c r="D463" s="41" t="n">
        <x:v>0.9079</x:v>
      </x:c>
      <x:c r="E463" s="41" t="n">
        <x:v>0.1423</x:v>
      </x:c>
      <x:c r="F463" s="48" t="str">
        <x:v>experiments/results/cade_ids/200/07.21-22.00.41/cade_ids_apigraph_cnt200_127_seed1_test_2013-01_2018-12.csv</x:v>
      </x:c>
    </x:row>
    <x:row r="464" ht="20" customHeight="1">
      <x:c r="A464" s="27" t="str">
        <x:v>CADE-IDS</x:v>
      </x:c>
      <x:c r="B464" s="30" t="str">
        <x:v>2015-04</x:v>
      </x:c>
      <x:c r="C464" s="40" t="n">
        <x:v>200</x:v>
      </x:c>
      <x:c r="D464" s="41" t="n">
        <x:v>0.9161</x:v>
      </x:c>
      <x:c r="E464" s="41" t="n">
        <x:v>0.1113</x:v>
      </x:c>
      <x:c r="F464" s="48" t="str">
        <x:v>experiments/results/cade_ids/200/07.21-22.00.41/cade_ids_apigraph_cnt200_127_seed1_test_2013-01_2018-12.csv</x:v>
      </x:c>
    </x:row>
    <x:row r="465" ht="20" customHeight="1">
      <x:c r="A465" s="27" t="str">
        <x:v>CADE-IDS</x:v>
      </x:c>
      <x:c r="B465" s="30" t="str">
        <x:v>2015-05</x:v>
      </x:c>
      <x:c r="C465" s="40" t="n">
        <x:v>200</x:v>
      </x:c>
      <x:c r="D465" s="41" t="n">
        <x:v>0.9129</x:v>
      </x:c>
      <x:c r="E465" s="41" t="n">
        <x:v>0.1261</x:v>
      </x:c>
      <x:c r="F465" s="48" t="str">
        <x:v>experiments/results/cade_ids/200/07.21-22.00.41/cade_ids_apigraph_cnt200_127_seed1_test_2013-01_2018-12.csv</x:v>
      </x:c>
    </x:row>
    <x:row r="466" ht="20" customHeight="1">
      <x:c r="A466" s="27" t="str">
        <x:v>CADE-IDS</x:v>
      </x:c>
      <x:c r="B466" s="30" t="str">
        <x:v>2015-06</x:v>
      </x:c>
      <x:c r="C466" s="40" t="n">
        <x:v>200</x:v>
      </x:c>
      <x:c r="D466" s="41" t="n">
        <x:v>0.93</x:v>
      </x:c>
      <x:c r="E466" s="41" t="n">
        <x:v>0.0985</x:v>
      </x:c>
      <x:c r="F466" s="48" t="str">
        <x:v>experiments/results/cade_ids/200/07.21-22.00.41/cade_ids_apigraph_cnt200_127_seed1_test_2013-01_2018-12.csv</x:v>
      </x:c>
    </x:row>
    <x:row r="467" ht="20" customHeight="1">
      <x:c r="A467" s="27" t="str">
        <x:v>CADE-IDS</x:v>
      </x:c>
      <x:c r="B467" s="30" t="str">
        <x:v>2015-07</x:v>
      </x:c>
      <x:c r="C467" s="40" t="n">
        <x:v>200</x:v>
      </x:c>
      <x:c r="D467" s="41" t="n">
        <x:v>0.8953</x:v>
      </x:c>
      <x:c r="E467" s="41" t="n">
        <x:v>0.1488</x:v>
      </x:c>
      <x:c r="F467" s="48" t="str">
        <x:v>experiments/results/cade_ids/200/07.21-22.00.41/cade_ids_apigraph_cnt200_127_seed1_test_2013-01_2018-12.csv</x:v>
      </x:c>
    </x:row>
    <x:row r="468" ht="20" customHeight="1">
      <x:c r="A468" s="27" t="str">
        <x:v>CADE-IDS</x:v>
      </x:c>
      <x:c r="B468" s="30" t="str">
        <x:v>2015-08</x:v>
      </x:c>
      <x:c r="C468" s="40" t="n">
        <x:v>200</x:v>
      </x:c>
      <x:c r="D468" s="41" t="n">
        <x:v>0.9376</x:v>
      </x:c>
      <x:c r="E468" s="41" t="n">
        <x:v>0.0915</x:v>
      </x:c>
      <x:c r="F468" s="48" t="str">
        <x:v>experiments/results/cade_ids/200/07.21-22.00.41/cade_ids_apigraph_cnt200_127_seed1_test_2013-01_2018-12.csv</x:v>
      </x:c>
    </x:row>
    <x:row r="469" ht="20" customHeight="1">
      <x:c r="A469" s="27" t="str">
        <x:v>CADE-IDS</x:v>
      </x:c>
      <x:c r="B469" s="30" t="str">
        <x:v>2015-09</x:v>
      </x:c>
      <x:c r="C469" s="40" t="n">
        <x:v>200</x:v>
      </x:c>
      <x:c r="D469" s="41" t="n">
        <x:v>0.8476</x:v>
      </x:c>
      <x:c r="E469" s="41" t="n">
        <x:v>0.2386</x:v>
      </x:c>
      <x:c r="F469" s="48" t="str">
        <x:v>experiments/results/cade_ids/200/07.21-22.00.41/cade_ids_apigraph_cnt200_127_seed1_test_2013-01_2018-12.csv</x:v>
      </x:c>
    </x:row>
    <x:row r="470" ht="20" customHeight="1">
      <x:c r="A470" s="27" t="str">
        <x:v>CADE-IDS</x:v>
      </x:c>
      <x:c r="B470" s="30" t="str">
        <x:v>2015-10</x:v>
      </x:c>
      <x:c r="C470" s="40" t="n">
        <x:v>200</x:v>
      </x:c>
      <x:c r="D470" s="41" t="n">
        <x:v>0.8167</x:v>
      </x:c>
      <x:c r="E470" s="41" t="n">
        <x:v>0.2779</x:v>
      </x:c>
      <x:c r="F470" s="48" t="str">
        <x:v>experiments/results/cade_ids/200/07.21-22.00.41/cade_ids_apigraph_cnt200_127_seed1_test_2013-01_2018-12.csv</x:v>
      </x:c>
    </x:row>
    <x:row r="471" ht="20" customHeight="1">
      <x:c r="A471" s="27" t="str">
        <x:v>CADE-IDS</x:v>
      </x:c>
      <x:c r="B471" s="30" t="str">
        <x:v>2015-11</x:v>
      </x:c>
      <x:c r="C471" s="40" t="n">
        <x:v>200</x:v>
      </x:c>
      <x:c r="D471" s="41" t="n">
        <x:v>0.9569</x:v>
      </x:c>
      <x:c r="E471" s="41" t="n">
        <x:v>0.0451</x:v>
      </x:c>
      <x:c r="F471" s="48" t="str">
        <x:v>experiments/results/cade_ids/200/07.21-22.00.41/cade_ids_apigraph_cnt200_127_seed1_test_2013-01_2018-12.csv</x:v>
      </x:c>
    </x:row>
    <x:row r="472" ht="20" customHeight="1">
      <x:c r="A472" s="27" t="str">
        <x:v>CADE-IDS</x:v>
      </x:c>
      <x:c r="B472" s="30" t="str">
        <x:v>2015-12</x:v>
      </x:c>
      <x:c r="C472" s="40" t="n">
        <x:v>200</x:v>
      </x:c>
      <x:c r="D472" s="41" t="n">
        <x:v>0.9433</x:v>
      </x:c>
      <x:c r="E472" s="41" t="n">
        <x:v>0.0665</x:v>
      </x:c>
      <x:c r="F472" s="48" t="str">
        <x:v>experiments/results/cade_ids/200/07.21-22.00.41/cade_ids_apigraph_cnt200_127_seed1_test_2013-01_2018-12.csv</x:v>
      </x:c>
    </x:row>
    <x:row r="473" ht="20" customHeight="1">
      <x:c r="A473" s="27" t="str">
        <x:v>CADE-IDS</x:v>
      </x:c>
      <x:c r="B473" s="30" t="str">
        <x:v>2016-01</x:v>
      </x:c>
      <x:c r="C473" s="40" t="n">
        <x:v>200</x:v>
      </x:c>
      <x:c r="D473" s="41" t="n">
        <x:v>0.9023</x:v>
      </x:c>
      <x:c r="E473" s="41" t="n">
        <x:v>0.1422</x:v>
      </x:c>
      <x:c r="F473" s="48" t="str">
        <x:v>experiments/results/cade_ids/200/07.21-22.00.41/cade_ids_apigraph_cnt200_127_seed1_test_2013-01_2018-12.csv</x:v>
      </x:c>
    </x:row>
    <x:row r="474" ht="20" customHeight="1">
      <x:c r="A474" s="27" t="str">
        <x:v>CADE-IDS</x:v>
      </x:c>
      <x:c r="B474" s="30" t="str">
        <x:v>2016-02</x:v>
      </x:c>
      <x:c r="C474" s="40" t="n">
        <x:v>200</x:v>
      </x:c>
      <x:c r="D474" s="41" t="n">
        <x:v>0.9419</x:v>
      </x:c>
      <x:c r="E474" s="41" t="n">
        <x:v>0.0853</x:v>
      </x:c>
      <x:c r="F474" s="48" t="str">
        <x:v>experiments/results/cade_ids/200/07.21-22.00.41/cade_ids_apigraph_cnt200_127_seed1_test_2013-01_2018-12.csv</x:v>
      </x:c>
    </x:row>
    <x:row r="475" ht="20" customHeight="1">
      <x:c r="A475" s="27" t="str">
        <x:v>CADE-IDS</x:v>
      </x:c>
      <x:c r="B475" s="30" t="str">
        <x:v>2016-03</x:v>
      </x:c>
      <x:c r="C475" s="40" t="n">
        <x:v>200</x:v>
      </x:c>
      <x:c r="D475" s="41" t="n">
        <x:v>0.9537</x:v>
      </x:c>
      <x:c r="E475" s="41" t="n">
        <x:v>0.0442</x:v>
      </x:c>
      <x:c r="F475" s="48" t="str">
        <x:v>experiments/results/cade_ids/200/07.21-22.00.41/cade_ids_apigraph_cnt200_127_seed1_test_2013-01_2018-12.csv</x:v>
      </x:c>
    </x:row>
    <x:row r="476" ht="20" customHeight="1">
      <x:c r="A476" s="27" t="str">
        <x:v>CADE-IDS</x:v>
      </x:c>
      <x:c r="B476" s="30" t="str">
        <x:v>2016-04</x:v>
      </x:c>
      <x:c r="C476" s="40" t="n">
        <x:v>200</x:v>
      </x:c>
      <x:c r="D476" s="41" t="n">
        <x:v>0.9218</x:v>
      </x:c>
      <x:c r="E476" s="41" t="n">
        <x:v>0.0718</x:v>
      </x:c>
      <x:c r="F476" s="48" t="str">
        <x:v>experiments/results/cade_ids/200/07.21-22.00.41/cade_ids_apigraph_cnt200_127_seed1_test_2013-01_2018-12.csv</x:v>
      </x:c>
    </x:row>
    <x:row r="477" ht="20" customHeight="1">
      <x:c r="A477" s="27" t="str">
        <x:v>CADE-IDS</x:v>
      </x:c>
      <x:c r="B477" s="30" t="str">
        <x:v>2016-05</x:v>
      </x:c>
      <x:c r="C477" s="40" t="n">
        <x:v>200</x:v>
      </x:c>
      <x:c r="D477" s="41" t="n">
        <x:v>0.9366</x:v>
      </x:c>
      <x:c r="E477" s="41" t="n">
        <x:v>0.086</x:v>
      </x:c>
      <x:c r="F477" s="48" t="str">
        <x:v>experiments/results/cade_ids/200/07.21-22.00.41/cade_ids_apigraph_cnt200_127_seed1_test_2013-01_2018-12.csv</x:v>
      </x:c>
    </x:row>
    <x:row r="478" ht="20" customHeight="1">
      <x:c r="A478" s="27" t="str">
        <x:v>CADE-IDS</x:v>
      </x:c>
      <x:c r="B478" s="30" t="str">
        <x:v>2016-06</x:v>
      </x:c>
      <x:c r="C478" s="40" t="n">
        <x:v>200</x:v>
      </x:c>
      <x:c r="D478" s="41" t="n">
        <x:v>0.9318</x:v>
      </x:c>
      <x:c r="E478" s="41" t="n">
        <x:v>0.0833</x:v>
      </x:c>
      <x:c r="F478" s="48" t="str">
        <x:v>experiments/results/cade_ids/200/07.21-22.00.41/cade_ids_apigraph_cnt200_127_seed1_test_2013-01_2018-12.csv</x:v>
      </x:c>
    </x:row>
    <x:row r="479" ht="20" customHeight="1">
      <x:c r="A479" s="27" t="str">
        <x:v>CADE-IDS</x:v>
      </x:c>
      <x:c r="B479" s="30" t="str">
        <x:v>2016-07</x:v>
      </x:c>
      <x:c r="C479" s="40" t="n">
        <x:v>200</x:v>
      </x:c>
      <x:c r="D479" s="41" t="n">
        <x:v>0.9263</x:v>
      </x:c>
      <x:c r="E479" s="41" t="n">
        <x:v>0.0852</x:v>
      </x:c>
      <x:c r="F479" s="48" t="str">
        <x:v>experiments/results/cade_ids/200/07.21-22.00.41/cade_ids_apigraph_cnt200_127_seed1_test_2013-01_2018-12.csv</x:v>
      </x:c>
    </x:row>
    <x:row r="480" ht="20" customHeight="1">
      <x:c r="A480" s="27" t="str">
        <x:v>CADE-IDS</x:v>
      </x:c>
      <x:c r="B480" s="30" t="str">
        <x:v>2016-08</x:v>
      </x:c>
      <x:c r="C480" s="40" t="n">
        <x:v>200</x:v>
      </x:c>
      <x:c r="D480" s="41" t="n">
        <x:v>0.924</x:v>
      </x:c>
      <x:c r="E480" s="41" t="n">
        <x:v>0.0946</x:v>
      </x:c>
      <x:c r="F480" s="48" t="str">
        <x:v>experiments/results/cade_ids/200/07.21-22.00.41/cade_ids_apigraph_cnt200_127_seed1_test_2013-01_2018-12.csv</x:v>
      </x:c>
    </x:row>
    <x:row r="481" ht="20" customHeight="1">
      <x:c r="A481" s="27" t="str">
        <x:v>CADE-IDS</x:v>
      </x:c>
      <x:c r="B481" s="30" t="str">
        <x:v>2016-09</x:v>
      </x:c>
      <x:c r="C481" s="40" t="n">
        <x:v>200</x:v>
      </x:c>
      <x:c r="D481" s="41" t="n">
        <x:v>0.9158</x:v>
      </x:c>
      <x:c r="E481" s="41" t="n">
        <x:v>0.1176</x:v>
      </x:c>
      <x:c r="F481" s="48" t="str">
        <x:v>experiments/results/cade_ids/200/07.21-22.00.41/cade_ids_apigraph_cnt200_127_seed1_test_2013-01_2018-12.csv</x:v>
      </x:c>
    </x:row>
    <x:row r="482" ht="20" customHeight="1">
      <x:c r="A482" s="27" t="str">
        <x:v>CADE-IDS</x:v>
      </x:c>
      <x:c r="B482" s="30" t="str">
        <x:v>2016-10</x:v>
      </x:c>
      <x:c r="C482" s="40" t="n">
        <x:v>200</x:v>
      </x:c>
      <x:c r="D482" s="41" t="n">
        <x:v>0.9504</x:v>
      </x:c>
      <x:c r="E482" s="41" t="n">
        <x:v>0.0467</x:v>
      </x:c>
      <x:c r="F482" s="48" t="str">
        <x:v>experiments/results/cade_ids/200/07.21-22.00.41/cade_ids_apigraph_cnt200_127_seed1_test_2013-01_2018-12.csv</x:v>
      </x:c>
    </x:row>
    <x:row r="483" ht="20" customHeight="1">
      <x:c r="A483" s="27" t="str">
        <x:v>CADE-IDS</x:v>
      </x:c>
      <x:c r="B483" s="30" t="str">
        <x:v>2016-11</x:v>
      </x:c>
      <x:c r="C483" s="40" t="n">
        <x:v>200</x:v>
      </x:c>
      <x:c r="D483" s="41" t="n">
        <x:v>0.8098</x:v>
      </x:c>
      <x:c r="E483" s="41" t="n">
        <x:v>0.297</x:v>
      </x:c>
      <x:c r="F483" s="48" t="str">
        <x:v>experiments/results/cade_ids/200/07.21-22.00.41/cade_ids_apigraph_cnt200_127_seed1_test_2013-01_2018-12.csv</x:v>
      </x:c>
    </x:row>
    <x:row r="484" ht="20" customHeight="1">
      <x:c r="A484" s="27" t="str">
        <x:v>CADE-IDS</x:v>
      </x:c>
      <x:c r="B484" s="30" t="str">
        <x:v>2016-12</x:v>
      </x:c>
      <x:c r="C484" s="40" t="n">
        <x:v>200</x:v>
      </x:c>
      <x:c r="D484" s="41" t="n">
        <x:v>0.8566</x:v>
      </x:c>
      <x:c r="E484" s="41" t="n">
        <x:v>0.202</x:v>
      </x:c>
      <x:c r="F484" s="48" t="str">
        <x:v>experiments/results/cade_ids/200/07.21-22.00.41/cade_ids_apigraph_cnt200_127_seed1_test_2013-01_2018-12.csv</x:v>
      </x:c>
    </x:row>
    <x:row r="485" ht="20" customHeight="1">
      <x:c r="A485" s="27" t="str">
        <x:v>CADE-IDS</x:v>
      </x:c>
      <x:c r="B485" s="30" t="str">
        <x:v>2017-01</x:v>
      </x:c>
      <x:c r="C485" s="40" t="n">
        <x:v>200</x:v>
      </x:c>
      <x:c r="D485" s="41" t="n">
        <x:v>0.8986</x:v>
      </x:c>
      <x:c r="E485" s="41" t="n">
        <x:v>0.1281</x:v>
      </x:c>
      <x:c r="F485" s="48" t="str">
        <x:v>experiments/results/cade_ids/200/07.21-22.00.41/cade_ids_apigraph_cnt200_127_seed1_test_2013-01_2018-12.csv</x:v>
      </x:c>
    </x:row>
    <x:row r="486" ht="20" customHeight="1">
      <x:c r="A486" s="27" t="str">
        <x:v>CADE-IDS</x:v>
      </x:c>
      <x:c r="B486" s="30" t="str">
        <x:v>2017-02</x:v>
      </x:c>
      <x:c r="C486" s="40" t="n">
        <x:v>200</x:v>
      </x:c>
      <x:c r="D486" s="41" t="n">
        <x:v>0.9379</x:v>
      </x:c>
      <x:c r="E486" s="41" t="n">
        <x:v>0.0761</x:v>
      </x:c>
      <x:c r="F486" s="48" t="str">
        <x:v>experiments/results/cade_ids/200/07.21-22.00.41/cade_ids_apigraph_cnt200_127_seed1_test_2013-01_2018-12.csv</x:v>
      </x:c>
    </x:row>
    <x:row r="487" ht="20" customHeight="1">
      <x:c r="A487" s="27" t="str">
        <x:v>CADE-IDS</x:v>
      </x:c>
      <x:c r="B487" s="30" t="str">
        <x:v>2017-03</x:v>
      </x:c>
      <x:c r="C487" s="40" t="n">
        <x:v>200</x:v>
      </x:c>
      <x:c r="D487" s="41" t="n">
        <x:v>0.8741</x:v>
      </x:c>
      <x:c r="E487" s="41" t="n">
        <x:v>0.1325</x:v>
      </x:c>
      <x:c r="F487" s="48" t="str">
        <x:v>experiments/results/cade_ids/200/07.21-22.00.41/cade_ids_apigraph_cnt200_127_seed1_test_2013-01_2018-12.csv</x:v>
      </x:c>
    </x:row>
    <x:row r="488" ht="20" customHeight="1">
      <x:c r="A488" s="27" t="str">
        <x:v>CADE-IDS</x:v>
      </x:c>
      <x:c r="B488" s="30" t="str">
        <x:v>2017-04</x:v>
      </x:c>
      <x:c r="C488" s="40" t="n">
        <x:v>200</x:v>
      </x:c>
      <x:c r="D488" s="41" t="n">
        <x:v>0.872</x:v>
      </x:c>
      <x:c r="E488" s="41" t="n">
        <x:v>0.1871</x:v>
      </x:c>
      <x:c r="F488" s="48" t="str">
        <x:v>experiments/results/cade_ids/200/07.21-22.00.41/cade_ids_apigraph_cnt200_127_seed1_test_2013-01_2018-12.csv</x:v>
      </x:c>
    </x:row>
    <x:row r="489" ht="20" customHeight="1">
      <x:c r="A489" s="27" t="str">
        <x:v>CADE-IDS</x:v>
      </x:c>
      <x:c r="B489" s="30" t="str">
        <x:v>2017-05</x:v>
      </x:c>
      <x:c r="C489" s="40" t="n">
        <x:v>200</x:v>
      </x:c>
      <x:c r="D489" s="41" t="n">
        <x:v>0.884</x:v>
      </x:c>
      <x:c r="E489" s="41" t="n">
        <x:v>0.1919</x:v>
      </x:c>
      <x:c r="F489" s="48" t="str">
        <x:v>experiments/results/cade_ids/200/07.21-22.00.41/cade_ids_apigraph_cnt200_127_seed1_test_2013-01_2018-12.csv</x:v>
      </x:c>
    </x:row>
    <x:row r="490" ht="20" customHeight="1">
      <x:c r="A490" s="27" t="str">
        <x:v>CADE-IDS</x:v>
      </x:c>
      <x:c r="B490" s="30" t="str">
        <x:v>2017-06</x:v>
      </x:c>
      <x:c r="C490" s="40" t="n">
        <x:v>200</x:v>
      </x:c>
      <x:c r="D490" s="41" t="n">
        <x:v>0.8293</x:v>
      </x:c>
      <x:c r="E490" s="41" t="n">
        <x:v>0.2478</x:v>
      </x:c>
      <x:c r="F490" s="48" t="str">
        <x:v>experiments/results/cade_ids/200/07.21-22.00.41/cade_ids_apigraph_cnt200_127_seed1_test_2013-01_2018-12.csv</x:v>
      </x:c>
    </x:row>
    <x:row r="491" ht="20" customHeight="1">
      <x:c r="A491" s="27" t="str">
        <x:v>CADE-IDS</x:v>
      </x:c>
      <x:c r="B491" s="30" t="str">
        <x:v>2017-07</x:v>
      </x:c>
      <x:c r="C491" s="40" t="n">
        <x:v>200</x:v>
      </x:c>
      <x:c r="D491" s="41" t="n">
        <x:v>0.9227</x:v>
      </x:c>
      <x:c r="E491" s="41" t="n">
        <x:v>0.0749</x:v>
      </x:c>
      <x:c r="F491" s="48" t="str">
        <x:v>experiments/results/cade_ids/200/07.21-22.00.41/cade_ids_apigraph_cnt200_127_seed1_test_2013-01_2018-12.csv</x:v>
      </x:c>
    </x:row>
    <x:row r="492" ht="20" customHeight="1">
      <x:c r="A492" s="27" t="str">
        <x:v>CADE-IDS</x:v>
      </x:c>
      <x:c r="B492" s="30" t="str">
        <x:v>2017-08</x:v>
      </x:c>
      <x:c r="C492" s="40" t="n">
        <x:v>200</x:v>
      </x:c>
      <x:c r="D492" s="41" t="n">
        <x:v>0.9548</x:v>
      </x:c>
      <x:c r="E492" s="41" t="n">
        <x:v>0.0372</x:v>
      </x:c>
      <x:c r="F492" s="48" t="str">
        <x:v>experiments/results/cade_ids/200/07.21-22.00.41/cade_ids_apigraph_cnt200_127_seed1_test_2013-01_2018-12.csv</x:v>
      </x:c>
    </x:row>
    <x:row r="493" ht="20" customHeight="1">
      <x:c r="A493" s="27" t="str">
        <x:v>CADE-IDS</x:v>
      </x:c>
      <x:c r="B493" s="30" t="str">
        <x:v>2017-09</x:v>
      </x:c>
      <x:c r="C493" s="40" t="n">
        <x:v>200</x:v>
      </x:c>
      <x:c r="D493" s="41" t="n">
        <x:v>0.8966</x:v>
      </x:c>
      <x:c r="E493" s="41" t="n">
        <x:v>0.0892</x:v>
      </x:c>
      <x:c r="F493" s="48" t="str">
        <x:v>experiments/results/cade_ids/200/07.21-22.00.41/cade_ids_apigraph_cnt200_127_seed1_test_2013-01_2018-12.csv</x:v>
      </x:c>
    </x:row>
    <x:row r="494" ht="20" customHeight="1">
      <x:c r="A494" s="27" t="str">
        <x:v>CADE-IDS</x:v>
      </x:c>
      <x:c r="B494" s="30" t="str">
        <x:v>2017-10</x:v>
      </x:c>
      <x:c r="C494" s="40" t="n">
        <x:v>200</x:v>
      </x:c>
      <x:c r="D494" s="41" t="n">
        <x:v>0.9078</x:v>
      </x:c>
      <x:c r="E494" s="41" t="n">
        <x:v>0.1312</x:v>
      </x:c>
      <x:c r="F494" s="48" t="str">
        <x:v>experiments/results/cade_ids/200/07.21-22.00.41/cade_ids_apigraph_cnt200_127_seed1_test_2013-01_2018-12.csv</x:v>
      </x:c>
    </x:row>
    <x:row r="495" ht="20" customHeight="1">
      <x:c r="A495" s="27" t="str">
        <x:v>CADE-IDS</x:v>
      </x:c>
      <x:c r="B495" s="30" t="str">
        <x:v>2017-11</x:v>
      </x:c>
      <x:c r="C495" s="40" t="n">
        <x:v>200</x:v>
      </x:c>
      <x:c r="D495" s="41" t="n">
        <x:v>0.9231</x:v>
      </x:c>
      <x:c r="E495" s="41" t="n">
        <x:v>0.087</x:v>
      </x:c>
      <x:c r="F495" s="48" t="str">
        <x:v>experiments/results/cade_ids/200/07.21-22.00.41/cade_ids_apigraph_cnt200_127_seed1_test_2013-01_2018-12.csv</x:v>
      </x:c>
    </x:row>
    <x:row r="496" ht="20" customHeight="1">
      <x:c r="A496" s="27" t="str">
        <x:v>CADE-IDS</x:v>
      </x:c>
      <x:c r="B496" s="30" t="str">
        <x:v>2017-12</x:v>
      </x:c>
      <x:c r="C496" s="40" t="n">
        <x:v>200</x:v>
      </x:c>
      <x:c r="D496" s="41" t="n">
        <x:v>0.8832</x:v>
      </x:c>
      <x:c r="E496" s="41" t="n">
        <x:v>0.032</x:v>
      </x:c>
      <x:c r="F496" s="48" t="str">
        <x:v>experiments/results/cade_ids/200/07.21-22.00.41/cade_ids_apigraph_cnt200_127_seed1_test_2013-01_2018-12.csv</x:v>
      </x:c>
    </x:row>
    <x:row r="497" ht="20" customHeight="1">
      <x:c r="A497" s="27" t="str">
        <x:v>CADE-IDS</x:v>
      </x:c>
      <x:c r="B497" s="30" t="str">
        <x:v>2018-01</x:v>
      </x:c>
      <x:c r="C497" s="40" t="n">
        <x:v>200</x:v>
      </x:c>
      <x:c r="D497" s="41" t="n">
        <x:v>0.8867</x:v>
      </x:c>
      <x:c r="E497" s="41" t="n">
        <x:v>0.1046</x:v>
      </x:c>
      <x:c r="F497" s="48" t="str">
        <x:v>experiments/results/cade_ids/200/07.21-22.00.41/cade_ids_apigraph_cnt200_127_seed1_test_2013-01_2018-12.csv</x:v>
      </x:c>
    </x:row>
    <x:row r="498" ht="20" customHeight="1">
      <x:c r="A498" s="27" t="str">
        <x:v>CADE-IDS</x:v>
      </x:c>
      <x:c r="B498" s="30" t="str">
        <x:v>2018-02</x:v>
      </x:c>
      <x:c r="C498" s="40" t="n">
        <x:v>200</x:v>
      </x:c>
      <x:c r="D498" s="41" t="n">
        <x:v>0.9071</x:v>
      </x:c>
      <x:c r="E498" s="41" t="n">
        <x:v>0.1241</x:v>
      </x:c>
      <x:c r="F498" s="48" t="str">
        <x:v>experiments/results/cade_ids/200/07.21-22.00.41/cade_ids_apigraph_cnt200_127_seed1_test_2013-01_2018-12.csv</x:v>
      </x:c>
    </x:row>
    <x:row r="499" ht="20" customHeight="1">
      <x:c r="A499" s="27" t="str">
        <x:v>CADE-IDS</x:v>
      </x:c>
      <x:c r="B499" s="30" t="str">
        <x:v>2018-03</x:v>
      </x:c>
      <x:c r="C499" s="40" t="n">
        <x:v>200</x:v>
      </x:c>
      <x:c r="D499" s="41" t="n">
        <x:v>0.8993</x:v>
      </x:c>
      <x:c r="E499" s="41" t="n">
        <x:v>0.0876</x:v>
      </x:c>
      <x:c r="F499" s="48" t="str">
        <x:v>experiments/results/cade_ids/200/07.21-22.00.41/cade_ids_apigraph_cnt200_127_seed1_test_2013-01_2018-12.csv</x:v>
      </x:c>
    </x:row>
    <x:row r="500" ht="20" customHeight="1">
      <x:c r="A500" s="27" t="str">
        <x:v>CADE-IDS</x:v>
      </x:c>
      <x:c r="B500" s="30" t="str">
        <x:v>2018-04</x:v>
      </x:c>
      <x:c r="C500" s="40" t="n">
        <x:v>200</x:v>
      </x:c>
      <x:c r="D500" s="41" t="n">
        <x:v>0.9198</x:v>
      </x:c>
      <x:c r="E500" s="41" t="n">
        <x:v>0.0819</x:v>
      </x:c>
      <x:c r="F500" s="48" t="str">
        <x:v>experiments/results/cade_ids/200/07.21-22.00.41/cade_ids_apigraph_cnt200_127_seed1_test_2013-01_2018-12.csv</x:v>
      </x:c>
    </x:row>
    <x:row r="501" ht="20" customHeight="1">
      <x:c r="A501" s="27" t="str">
        <x:v>CADE-IDS</x:v>
      </x:c>
      <x:c r="B501" s="30" t="str">
        <x:v>2018-05</x:v>
      </x:c>
      <x:c r="C501" s="40" t="n">
        <x:v>200</x:v>
      </x:c>
      <x:c r="D501" s="41" t="n">
        <x:v>0.7072</x:v>
      </x:c>
      <x:c r="E501" s="41" t="n">
        <x:v>0.062</x:v>
      </x:c>
      <x:c r="F501" s="48" t="str">
        <x:v>experiments/results/cade_ids/200/07.21-22.00.41/cade_ids_apigraph_cnt200_127_seed1_test_2013-01_2018-12.csv</x:v>
      </x:c>
    </x:row>
    <x:row r="502" ht="20" customHeight="1">
      <x:c r="A502" s="27" t="str">
        <x:v>CADE-IDS</x:v>
      </x:c>
      <x:c r="B502" s="30" t="str">
        <x:v>2018-06</x:v>
      </x:c>
      <x:c r="C502" s="40" t="n">
        <x:v>200</x:v>
      </x:c>
      <x:c r="D502" s="41" t="n">
        <x:v>0.8974</x:v>
      </x:c>
      <x:c r="E502" s="41" t="n">
        <x:v>0.1213</x:v>
      </x:c>
      <x:c r="F502" s="48" t="str">
        <x:v>experiments/results/cade_ids/200/07.21-22.00.41/cade_ids_apigraph_cnt200_127_seed1_test_2013-01_2018-12.csv</x:v>
      </x:c>
    </x:row>
    <x:row r="503" ht="20" customHeight="1">
      <x:c r="A503" s="27" t="str">
        <x:v>CADE-IDS</x:v>
      </x:c>
      <x:c r="B503" s="30" t="str">
        <x:v>2018-07</x:v>
      </x:c>
      <x:c r="C503" s="40" t="n">
        <x:v>200</x:v>
      </x:c>
      <x:c r="D503" s="41" t="n">
        <x:v>0.9022</x:v>
      </x:c>
      <x:c r="E503" s="41" t="n">
        <x:v>0.1496</x:v>
      </x:c>
      <x:c r="F503" s="48" t="str">
        <x:v>experiments/results/cade_ids/200/07.21-22.00.41/cade_ids_apigraph_cnt200_127_seed1_test_2013-01_2018-12.csv</x:v>
      </x:c>
    </x:row>
    <x:row r="504" ht="20" customHeight="1">
      <x:c r="A504" s="27" t="str">
        <x:v>CADE-IDS</x:v>
      </x:c>
      <x:c r="B504" s="30" t="str">
        <x:v>2018-08</x:v>
      </x:c>
      <x:c r="C504" s="40" t="n">
        <x:v>200</x:v>
      </x:c>
      <x:c r="D504" s="41" t="n">
        <x:v>0.8935</x:v>
      </x:c>
      <x:c r="E504" s="41" t="n">
        <x:v>0.1203</x:v>
      </x:c>
      <x:c r="F504" s="48" t="str">
        <x:v>experiments/results/cade_ids/200/07.21-22.00.41/cade_ids_apigraph_cnt200_127_seed1_test_2013-01_2018-12.csv</x:v>
      </x:c>
    </x:row>
    <x:row r="505" ht="20" customHeight="1">
      <x:c r="A505" s="27" t="str">
        <x:v>CADE-IDS</x:v>
      </x:c>
      <x:c r="B505" s="30" t="str">
        <x:v>2018-09</x:v>
      </x:c>
      <x:c r="C505" s="40" t="n">
        <x:v>200</x:v>
      </x:c>
      <x:c r="D505" s="41" t="n">
        <x:v>0.8545</x:v>
      </x:c>
      <x:c r="E505" s="41" t="n">
        <x:v>0.1856</x:v>
      </x:c>
      <x:c r="F505" s="48" t="str">
        <x:v>experiments/results/cade_ids/200/07.21-22.00.41/cade_ids_apigraph_cnt200_127_seed1_test_2013-01_2018-12.csv</x:v>
      </x:c>
    </x:row>
    <x:row r="506" ht="20" customHeight="1">
      <x:c r="A506" s="27" t="str">
        <x:v>CADE-IDS</x:v>
      </x:c>
      <x:c r="B506" s="30" t="str">
        <x:v>2018-10</x:v>
      </x:c>
      <x:c r="C506" s="40" t="n">
        <x:v>200</x:v>
      </x:c>
      <x:c r="D506" s="41" t="n">
        <x:v>0.8751</x:v>
      </x:c>
      <x:c r="E506" s="41" t="n">
        <x:v>0.1826</x:v>
      </x:c>
      <x:c r="F506" s="48" t="str">
        <x:v>experiments/results/cade_ids/200/07.21-22.00.41/cade_ids_apigraph_cnt200_127_seed1_test_2013-01_2018-12.csv</x:v>
      </x:c>
    </x:row>
    <x:row r="507" ht="20" customHeight="1">
      <x:c r="A507" s="27" t="str">
        <x:v>CADE-IDS</x:v>
      </x:c>
      <x:c r="B507" s="30" t="str">
        <x:v>2018-11</x:v>
      </x:c>
      <x:c r="C507" s="40" t="n">
        <x:v>200</x:v>
      </x:c>
      <x:c r="D507" s="41" t="n">
        <x:v>0.9416</x:v>
      </x:c>
      <x:c r="E507" s="41" t="n">
        <x:v>0.0732</x:v>
      </x:c>
      <x:c r="F507" s="48" t="str">
        <x:v>experiments/results/cade_ids/200/07.21-22.00.41/cade_ids_apigraph_cnt200_127_seed1_test_2013-01_2018-12.csv</x:v>
      </x:c>
    </x:row>
    <x:row r="508" ht="20" customHeight="1">
      <x:c r="A508" s="27" t="str">
        <x:v>CADE-IDS</x:v>
      </x:c>
      <x:c r="B508" s="30" t="str">
        <x:v>2018-12</x:v>
      </x:c>
      <x:c r="C508" s="40" t="n">
        <x:v>200</x:v>
      </x:c>
      <x:c r="D508" s="41" t="n">
        <x:v>0.937</x:v>
      </x:c>
      <x:c r="E508" s="41" t="n">
        <x:v>0.0363</x:v>
      </x:c>
      <x:c r="F508" s="48" t="str">
        <x:v>experiments/results/cade_ids/200/07.21-22.00.41/cade_ids_apigraph_cnt200_127_seed1_test_2013-01_2018-12.csv</x:v>
      </x:c>
    </x:row>
    <x:row r="509" ht="20" customHeight="1">
      <x:c r="A509" s="27" t="str">
        <x:v>CADE-IDS</x:v>
      </x:c>
      <x:c r="B509" s="30" t="str">
        <x:v>2013-01</x:v>
      </x:c>
      <x:c r="C509" s="40" t="n">
        <x:v>300</x:v>
      </x:c>
      <x:c r="D509" s="41" t="n">
        <x:v>0.9558</x:v>
      </x:c>
      <x:c r="E509" s="41" t="n">
        <x:v>0.026</x:v>
      </x:c>
      <x:c r="F509" s="48" t="str">
        <x:v>experiments/results/cade_ids/300/07.21-23.18.54/cade_ids_apigraph_cnt300_127_seed1_test_2013-01_2018-12.csv</x:v>
      </x:c>
    </x:row>
    <x:row r="510" ht="20" customHeight="1">
      <x:c r="A510" s="27" t="str">
        <x:v>CADE-IDS</x:v>
      </x:c>
      <x:c r="B510" s="30" t="str">
        <x:v>2013-02</x:v>
      </x:c>
      <x:c r="C510" s="40" t="n">
        <x:v>300</x:v>
      </x:c>
      <x:c r="D510" s="41" t="n">
        <x:v>0.8863</x:v>
      </x:c>
      <x:c r="E510" s="41" t="n">
        <x:v>0.1719</x:v>
      </x:c>
      <x:c r="F510" s="48" t="str">
        <x:v>experiments/results/cade_ids/300/07.21-23.18.54/cade_ids_apigraph_cnt300_127_seed1_test_2013-01_2018-12.csv</x:v>
      </x:c>
    </x:row>
    <x:row r="511" ht="20" customHeight="1">
      <x:c r="A511" s="27" t="str">
        <x:v>CADE-IDS</x:v>
      </x:c>
      <x:c r="B511" s="30" t="str">
        <x:v>2013-03</x:v>
      </x:c>
      <x:c r="C511" s="40" t="n">
        <x:v>300</x:v>
      </x:c>
      <x:c r="D511" s="41" t="n">
        <x:v>0.8954</x:v>
      </x:c>
      <x:c r="E511" s="41" t="n">
        <x:v>0.1365</x:v>
      </x:c>
      <x:c r="F511" s="48" t="str">
        <x:v>experiments/results/cade_ids/300/07.21-23.18.54/cade_ids_apigraph_cnt300_127_seed1_test_2013-01_2018-12.csv</x:v>
      </x:c>
    </x:row>
    <x:row r="512" ht="20" customHeight="1">
      <x:c r="A512" s="27" t="str">
        <x:v>CADE-IDS</x:v>
      </x:c>
      <x:c r="B512" s="30" t="str">
        <x:v>2013-04</x:v>
      </x:c>
      <x:c r="C512" s="40" t="n">
        <x:v>300</x:v>
      </x:c>
      <x:c r="D512" s="41" t="n">
        <x:v>0.9183</x:v>
      </x:c>
      <x:c r="E512" s="41" t="n">
        <x:v>0.1337</x:v>
      </x:c>
      <x:c r="F512" s="48" t="str">
        <x:v>experiments/results/cade_ids/300/07.21-23.18.54/cade_ids_apigraph_cnt300_127_seed1_test_2013-01_2018-12.csv</x:v>
      </x:c>
    </x:row>
    <x:row r="513" ht="20" customHeight="1">
      <x:c r="A513" s="27" t="str">
        <x:v>CADE-IDS</x:v>
      </x:c>
      <x:c r="B513" s="30" t="str">
        <x:v>2013-05</x:v>
      </x:c>
      <x:c r="C513" s="40" t="n">
        <x:v>300</x:v>
      </x:c>
      <x:c r="D513" s="41" t="n">
        <x:v>0.9065</x:v>
      </x:c>
      <x:c r="E513" s="41" t="n">
        <x:v>0.1349</x:v>
      </x:c>
      <x:c r="F513" s="48" t="str">
        <x:v>experiments/results/cade_ids/300/07.21-23.18.54/cade_ids_apigraph_cnt300_127_seed1_test_2013-01_2018-12.csv</x:v>
      </x:c>
    </x:row>
    <x:row r="514" ht="20" customHeight="1">
      <x:c r="A514" s="27" t="str">
        <x:v>CADE-IDS</x:v>
      </x:c>
      <x:c r="B514" s="30" t="str">
        <x:v>2013-06</x:v>
      </x:c>
      <x:c r="C514" s="40" t="n">
        <x:v>300</x:v>
      </x:c>
      <x:c r="D514" s="41" t="n">
        <x:v>0.9051</x:v>
      </x:c>
      <x:c r="E514" s="41" t="n">
        <x:v>0.1391</x:v>
      </x:c>
      <x:c r="F514" s="48" t="str">
        <x:v>experiments/results/cade_ids/300/07.21-23.18.54/cade_ids_apigraph_cnt300_127_seed1_test_2013-01_2018-12.csv</x:v>
      </x:c>
    </x:row>
    <x:row r="515" ht="20" customHeight="1">
      <x:c r="A515" s="27" t="str">
        <x:v>CADE-IDS</x:v>
      </x:c>
      <x:c r="B515" s="30" t="str">
        <x:v>2013-07</x:v>
      </x:c>
      <x:c r="C515" s="40" t="n">
        <x:v>300</x:v>
      </x:c>
      <x:c r="D515" s="41" t="n">
        <x:v>0.9091</x:v>
      </x:c>
      <x:c r="E515" s="41" t="n">
        <x:v>0.1304</x:v>
      </x:c>
      <x:c r="F515" s="48" t="str">
        <x:v>experiments/results/cade_ids/300/07.21-23.18.54/cade_ids_apigraph_cnt300_127_seed1_test_2013-01_2018-12.csv</x:v>
      </x:c>
    </x:row>
    <x:row r="516" ht="20" customHeight="1">
      <x:c r="A516" s="27" t="str">
        <x:v>CADE-IDS</x:v>
      </x:c>
      <x:c r="B516" s="30" t="str">
        <x:v>2013-08</x:v>
      </x:c>
      <x:c r="C516" s="40" t="n">
        <x:v>300</x:v>
      </x:c>
      <x:c r="D516" s="41" t="n">
        <x:v>0.9165</x:v>
      </x:c>
      <x:c r="E516" s="41" t="n">
        <x:v>0.1157</x:v>
      </x:c>
      <x:c r="F516" s="48" t="str">
        <x:v>experiments/results/cade_ids/300/07.21-23.18.54/cade_ids_apigraph_cnt300_127_seed1_test_2013-01_2018-12.csv</x:v>
      </x:c>
    </x:row>
    <x:row r="517" ht="20" customHeight="1">
      <x:c r="A517" s="27" t="str">
        <x:v>CADE-IDS</x:v>
      </x:c>
      <x:c r="B517" s="30" t="str">
        <x:v>2013-09</x:v>
      </x:c>
      <x:c r="C517" s="40" t="n">
        <x:v>300</x:v>
      </x:c>
      <x:c r="D517" s="41" t="n">
        <x:v>0.8914</x:v>
      </x:c>
      <x:c r="E517" s="41" t="n">
        <x:v>0.138</x:v>
      </x:c>
      <x:c r="F517" s="48" t="str">
        <x:v>experiments/results/cade_ids/300/07.21-23.18.54/cade_ids_apigraph_cnt300_127_seed1_test_2013-01_2018-12.csv</x:v>
      </x:c>
    </x:row>
    <x:row r="518" ht="20" customHeight="1">
      <x:c r="A518" s="27" t="str">
        <x:v>CADE-IDS</x:v>
      </x:c>
      <x:c r="B518" s="30" t="str">
        <x:v>2013-10</x:v>
      </x:c>
      <x:c r="C518" s="40" t="n">
        <x:v>300</x:v>
      </x:c>
      <x:c r="D518" s="41" t="n">
        <x:v>0.8967</x:v>
      </x:c>
      <x:c r="E518" s="41" t="n">
        <x:v>0.1563</x:v>
      </x:c>
      <x:c r="F518" s="48" t="str">
        <x:v>experiments/results/cade_ids/300/07.21-23.18.54/cade_ids_apigraph_cnt300_127_seed1_test_2013-01_2018-12.csv</x:v>
      </x:c>
    </x:row>
    <x:row r="519" ht="20" customHeight="1">
      <x:c r="A519" s="27" t="str">
        <x:v>CADE-IDS</x:v>
      </x:c>
      <x:c r="B519" s="30" t="str">
        <x:v>2013-11</x:v>
      </x:c>
      <x:c r="C519" s="40" t="n">
        <x:v>300</x:v>
      </x:c>
      <x:c r="D519" s="41" t="n">
        <x:v>0.8697</x:v>
      </x:c>
      <x:c r="E519" s="41" t="n">
        <x:v>0.198</x:v>
      </x:c>
      <x:c r="F519" s="48" t="str">
        <x:v>experiments/results/cade_ids/300/07.21-23.18.54/cade_ids_apigraph_cnt300_127_seed1_test_2013-01_2018-12.csv</x:v>
      </x:c>
    </x:row>
    <x:row r="520" ht="20" customHeight="1">
      <x:c r="A520" s="27" t="str">
        <x:v>CADE-IDS</x:v>
      </x:c>
      <x:c r="B520" s="30" t="str">
        <x:v>2013-12</x:v>
      </x:c>
      <x:c r="C520" s="40" t="n">
        <x:v>300</x:v>
      </x:c>
      <x:c r="D520" s="41" t="n">
        <x:v>0.8894</x:v>
      </x:c>
      <x:c r="E520" s="41" t="n">
        <x:v>0.1784</x:v>
      </x:c>
      <x:c r="F520" s="48" t="str">
        <x:v>experiments/results/cade_ids/300/07.21-23.18.54/cade_ids_apigraph_cnt300_127_seed1_test_2013-01_2018-12.csv</x:v>
      </x:c>
    </x:row>
    <x:row r="521" ht="20" customHeight="1">
      <x:c r="A521" s="27" t="str">
        <x:v>CADE-IDS</x:v>
      </x:c>
      <x:c r="B521" s="30" t="str">
        <x:v>2014-01</x:v>
      </x:c>
      <x:c r="C521" s="40" t="n">
        <x:v>300</x:v>
      </x:c>
      <x:c r="D521" s="41" t="n">
        <x:v>0.8571</x:v>
      </x:c>
      <x:c r="E521" s="41" t="n">
        <x:v>0.2089</x:v>
      </x:c>
      <x:c r="F521" s="48" t="str">
        <x:v>experiments/results/cade_ids/300/07.21-23.18.54/cade_ids_apigraph_cnt300_127_seed1_test_2013-01_2018-12.csv</x:v>
      </x:c>
    </x:row>
    <x:row r="522" ht="20" customHeight="1">
      <x:c r="A522" s="27" t="str">
        <x:v>CADE-IDS</x:v>
      </x:c>
      <x:c r="B522" s="30" t="str">
        <x:v>2014-02</x:v>
      </x:c>
      <x:c r="C522" s="40" t="n">
        <x:v>300</x:v>
      </x:c>
      <x:c r="D522" s="41" t="n">
        <x:v>0.9059</x:v>
      </x:c>
      <x:c r="E522" s="41" t="n">
        <x:v>0.1152</x:v>
      </x:c>
      <x:c r="F522" s="48" t="str">
        <x:v>experiments/results/cade_ids/300/07.21-23.18.54/cade_ids_apigraph_cnt300_127_seed1_test_2013-01_2018-12.csv</x:v>
      </x:c>
    </x:row>
    <x:row r="523" ht="20" customHeight="1">
      <x:c r="A523" s="27" t="str">
        <x:v>CADE-IDS</x:v>
      </x:c>
      <x:c r="B523" s="30" t="str">
        <x:v>2014-03</x:v>
      </x:c>
      <x:c r="C523" s="40" t="n">
        <x:v>300</x:v>
      </x:c>
      <x:c r="D523" s="41" t="n">
        <x:v>0.8622</x:v>
      </x:c>
      <x:c r="E523" s="41" t="n">
        <x:v>0.1579</x:v>
      </x:c>
      <x:c r="F523" s="48" t="str">
        <x:v>experiments/results/cade_ids/300/07.21-23.18.54/cade_ids_apigraph_cnt300_127_seed1_test_2013-01_2018-12.csv</x:v>
      </x:c>
    </x:row>
    <x:row r="524" ht="20" customHeight="1">
      <x:c r="A524" s="27" t="str">
        <x:v>CADE-IDS</x:v>
      </x:c>
      <x:c r="B524" s="30" t="str">
        <x:v>2014-04</x:v>
      </x:c>
      <x:c r="C524" s="40" t="n">
        <x:v>300</x:v>
      </x:c>
      <x:c r="D524" s="41" t="n">
        <x:v>0.8568</x:v>
      </x:c>
      <x:c r="E524" s="41" t="n">
        <x:v>0.1705</x:v>
      </x:c>
      <x:c r="F524" s="48" t="str">
        <x:v>experiments/results/cade_ids/300/07.21-23.18.54/cade_ids_apigraph_cnt300_127_seed1_test_2013-01_2018-12.csv</x:v>
      </x:c>
    </x:row>
    <x:row r="525" ht="20" customHeight="1">
      <x:c r="A525" s="27" t="str">
        <x:v>CADE-IDS</x:v>
      </x:c>
      <x:c r="B525" s="30" t="str">
        <x:v>2014-05</x:v>
      </x:c>
      <x:c r="C525" s="40" t="n">
        <x:v>300</x:v>
      </x:c>
      <x:c r="D525" s="41" t="n">
        <x:v>0.8758</x:v>
      </x:c>
      <x:c r="E525" s="41" t="n">
        <x:v>0.1207</x:v>
      </x:c>
      <x:c r="F525" s="48" t="str">
        <x:v>experiments/results/cade_ids/300/07.21-23.18.54/cade_ids_apigraph_cnt300_127_seed1_test_2013-01_2018-12.csv</x:v>
      </x:c>
    </x:row>
    <x:row r="526" ht="20" customHeight="1">
      <x:c r="A526" s="27" t="str">
        <x:v>CADE-IDS</x:v>
      </x:c>
      <x:c r="B526" s="30" t="str">
        <x:v>2014-06</x:v>
      </x:c>
      <x:c r="C526" s="40" t="n">
        <x:v>300</x:v>
      </x:c>
      <x:c r="D526" s="41" t="n">
        <x:v>0.8049</x:v>
      </x:c>
      <x:c r="E526" s="41" t="n">
        <x:v>0.2791</x:v>
      </x:c>
      <x:c r="F526" s="48" t="str">
        <x:v>experiments/results/cade_ids/300/07.21-23.18.54/cade_ids_apigraph_cnt300_127_seed1_test_2013-01_2018-12.csv</x:v>
      </x:c>
    </x:row>
    <x:row r="527" ht="20" customHeight="1">
      <x:c r="A527" s="27" t="str">
        <x:v>CADE-IDS</x:v>
      </x:c>
      <x:c r="B527" s="30" t="str">
        <x:v>2014-07</x:v>
      </x:c>
      <x:c r="C527" s="40" t="n">
        <x:v>300</x:v>
      </x:c>
      <x:c r="D527" s="41" t="n">
        <x:v>0.8044</x:v>
      </x:c>
      <x:c r="E527" s="41" t="n">
        <x:v>0.2625</x:v>
      </x:c>
      <x:c r="F527" s="48" t="str">
        <x:v>experiments/results/cade_ids/300/07.21-23.18.54/cade_ids_apigraph_cnt300_127_seed1_test_2013-01_2018-12.csv</x:v>
      </x:c>
    </x:row>
    <x:row r="528" ht="20" customHeight="1">
      <x:c r="A528" s="27" t="str">
        <x:v>CADE-IDS</x:v>
      </x:c>
      <x:c r="B528" s="30" t="str">
        <x:v>2014-08</x:v>
      </x:c>
      <x:c r="C528" s="40" t="n">
        <x:v>300</x:v>
      </x:c>
      <x:c r="D528" s="41" t="n">
        <x:v>0.8499</x:v>
      </x:c>
      <x:c r="E528" s="41" t="n">
        <x:v>0.2177</x:v>
      </x:c>
      <x:c r="F528" s="48" t="str">
        <x:v>experiments/results/cade_ids/300/07.21-23.18.54/cade_ids_apigraph_cnt300_127_seed1_test_2013-01_2018-12.csv</x:v>
      </x:c>
    </x:row>
    <x:row r="529" ht="20" customHeight="1">
      <x:c r="A529" s="27" t="str">
        <x:v>CADE-IDS</x:v>
      </x:c>
      <x:c r="B529" s="30" t="str">
        <x:v>2014-09</x:v>
      </x:c>
      <x:c r="C529" s="40" t="n">
        <x:v>300</x:v>
      </x:c>
      <x:c r="D529" s="41" t="n">
        <x:v>0.8593</x:v>
      </x:c>
      <x:c r="E529" s="41" t="n">
        <x:v>0.1825</x:v>
      </x:c>
      <x:c r="F529" s="48" t="str">
        <x:v>experiments/results/cade_ids/300/07.21-23.18.54/cade_ids_apigraph_cnt300_127_seed1_test_2013-01_2018-12.csv</x:v>
      </x:c>
    </x:row>
    <x:row r="530" ht="20" customHeight="1">
      <x:c r="A530" s="27" t="str">
        <x:v>CADE-IDS</x:v>
      </x:c>
      <x:c r="B530" s="30" t="str">
        <x:v>2014-10</x:v>
      </x:c>
      <x:c r="C530" s="40" t="n">
        <x:v>300</x:v>
      </x:c>
      <x:c r="D530" s="41" t="n">
        <x:v>0.8322</x:v>
      </x:c>
      <x:c r="E530" s="41" t="n">
        <x:v>0.2393</x:v>
      </x:c>
      <x:c r="F530" s="48" t="str">
        <x:v>experiments/results/cade_ids/300/07.21-23.18.54/cade_ids_apigraph_cnt300_127_seed1_test_2013-01_2018-12.csv</x:v>
      </x:c>
    </x:row>
    <x:row r="531" ht="20" customHeight="1">
      <x:c r="A531" s="27" t="str">
        <x:v>CADE-IDS</x:v>
      </x:c>
      <x:c r="B531" s="30" t="str">
        <x:v>2014-11</x:v>
      </x:c>
      <x:c r="C531" s="40" t="n">
        <x:v>300</x:v>
      </x:c>
      <x:c r="D531" s="41" t="n">
        <x:v>0.9062</x:v>
      </x:c>
      <x:c r="E531" s="41" t="n">
        <x:v>0.1176</x:v>
      </x:c>
      <x:c r="F531" s="48" t="str">
        <x:v>experiments/results/cade_ids/300/07.21-23.18.54/cade_ids_apigraph_cnt300_127_seed1_test_2013-01_2018-12.csv</x:v>
      </x:c>
    </x:row>
    <x:row r="532" ht="20" customHeight="1">
      <x:c r="A532" s="27" t="str">
        <x:v>CADE-IDS</x:v>
      </x:c>
      <x:c r="B532" s="30" t="str">
        <x:v>2014-12</x:v>
      </x:c>
      <x:c r="C532" s="40" t="n">
        <x:v>300</x:v>
      </x:c>
      <x:c r="D532" s="41" t="n">
        <x:v>0.8675</x:v>
      </x:c>
      <x:c r="E532" s="41" t="n">
        <x:v>0.2028</x:v>
      </x:c>
      <x:c r="F532" s="48" t="str">
        <x:v>experiments/results/cade_ids/300/07.21-23.18.54/cade_ids_apigraph_cnt300_127_seed1_test_2013-01_2018-12.csv</x:v>
      </x:c>
    </x:row>
    <x:row r="533" ht="20" customHeight="1">
      <x:c r="A533" s="27" t="str">
        <x:v>CADE-IDS</x:v>
      </x:c>
      <x:c r="B533" s="30" t="str">
        <x:v>2015-01</x:v>
      </x:c>
      <x:c r="C533" s="40" t="n">
        <x:v>300</x:v>
      </x:c>
      <x:c r="D533" s="41" t="n">
        <x:v>0.8716</x:v>
      </x:c>
      <x:c r="E533" s="41" t="n">
        <x:v>0.1904</x:v>
      </x:c>
      <x:c r="F533" s="48" t="str">
        <x:v>experiments/results/cade_ids/300/07.21-23.18.54/cade_ids_apigraph_cnt300_127_seed1_test_2013-01_2018-12.csv</x:v>
      </x:c>
    </x:row>
    <x:row r="534" ht="20" customHeight="1">
      <x:c r="A534" s="27" t="str">
        <x:v>CADE-IDS</x:v>
      </x:c>
      <x:c r="B534" s="30" t="str">
        <x:v>2015-02</x:v>
      </x:c>
      <x:c r="C534" s="40" t="n">
        <x:v>300</x:v>
      </x:c>
      <x:c r="D534" s="41" t="n">
        <x:v>0.9252</x:v>
      </x:c>
      <x:c r="E534" s="41" t="n">
        <x:v>0.0892</x:v>
      </x:c>
      <x:c r="F534" s="48" t="str">
        <x:v>experiments/results/cade_ids/300/07.21-23.18.54/cade_ids_apigraph_cnt300_127_seed1_test_2013-01_2018-12.csv</x:v>
      </x:c>
    </x:row>
    <x:row r="535" ht="20" customHeight="1">
      <x:c r="A535" s="27" t="str">
        <x:v>CADE-IDS</x:v>
      </x:c>
      <x:c r="B535" s="30" t="str">
        <x:v>2015-03</x:v>
      </x:c>
      <x:c r="C535" s="40" t="n">
        <x:v>300</x:v>
      </x:c>
      <x:c r="D535" s="41" t="n">
        <x:v>0.9341</x:v>
      </x:c>
      <x:c r="E535" s="41" t="n">
        <x:v>0.0977</x:v>
      </x:c>
      <x:c r="F535" s="48" t="str">
        <x:v>experiments/results/cade_ids/300/07.21-23.18.54/cade_ids_apigraph_cnt300_127_seed1_test_2013-01_2018-12.csv</x:v>
      </x:c>
    </x:row>
    <x:row r="536" ht="20" customHeight="1">
      <x:c r="A536" s="27" t="str">
        <x:v>CADE-IDS</x:v>
      </x:c>
      <x:c r="B536" s="30" t="str">
        <x:v>2015-04</x:v>
      </x:c>
      <x:c r="C536" s="40" t="n">
        <x:v>300</x:v>
      </x:c>
      <x:c r="D536" s="41" t="n">
        <x:v>0.9375</x:v>
      </x:c>
      <x:c r="E536" s="41" t="n">
        <x:v>0.0685</x:v>
      </x:c>
      <x:c r="F536" s="48" t="str">
        <x:v>experiments/results/cade_ids/300/07.21-23.18.54/cade_ids_apigraph_cnt300_127_seed1_test_2013-01_2018-12.csv</x:v>
      </x:c>
    </x:row>
    <x:row r="537" ht="20" customHeight="1">
      <x:c r="A537" s="27" t="str">
        <x:v>CADE-IDS</x:v>
      </x:c>
      <x:c r="B537" s="30" t="str">
        <x:v>2015-05</x:v>
      </x:c>
      <x:c r="C537" s="40" t="n">
        <x:v>300</x:v>
      </x:c>
      <x:c r="D537" s="41" t="n">
        <x:v>0.9142</x:v>
      </x:c>
      <x:c r="E537" s="41" t="n">
        <x:v>0.1239</x:v>
      </x:c>
      <x:c r="F537" s="48" t="str">
        <x:v>experiments/results/cade_ids/300/07.21-23.18.54/cade_ids_apigraph_cnt300_127_seed1_test_2013-01_2018-12.csv</x:v>
      </x:c>
    </x:row>
    <x:row r="538" ht="20" customHeight="1">
      <x:c r="A538" s="27" t="str">
        <x:v>CADE-IDS</x:v>
      </x:c>
      <x:c r="B538" s="30" t="str">
        <x:v>2015-06</x:v>
      </x:c>
      <x:c r="C538" s="40" t="n">
        <x:v>300</x:v>
      </x:c>
      <x:c r="D538" s="41" t="n">
        <x:v>0.9116</x:v>
      </x:c>
      <x:c r="E538" s="41" t="n">
        <x:v>0.1204</x:v>
      </x:c>
      <x:c r="F538" s="48" t="str">
        <x:v>experiments/results/cade_ids/300/07.21-23.18.54/cade_ids_apigraph_cnt300_127_seed1_test_2013-01_2018-12.csv</x:v>
      </x:c>
    </x:row>
    <x:row r="539" ht="20" customHeight="1">
      <x:c r="A539" s="27" t="str">
        <x:v>CADE-IDS</x:v>
      </x:c>
      <x:c r="B539" s="30" t="str">
        <x:v>2015-07</x:v>
      </x:c>
      <x:c r="C539" s="40" t="n">
        <x:v>300</x:v>
      </x:c>
      <x:c r="D539" s="41" t="n">
        <x:v>0.8982</x:v>
      </x:c>
      <x:c r="E539" s="41" t="n">
        <x:v>0.1488</x:v>
      </x:c>
      <x:c r="F539" s="48" t="str">
        <x:v>experiments/results/cade_ids/300/07.21-23.18.54/cade_ids_apigraph_cnt300_127_seed1_test_2013-01_2018-12.csv</x:v>
      </x:c>
    </x:row>
    <x:row r="540" ht="20" customHeight="1">
      <x:c r="A540" s="27" t="str">
        <x:v>CADE-IDS</x:v>
      </x:c>
      <x:c r="B540" s="30" t="str">
        <x:v>2015-08</x:v>
      </x:c>
      <x:c r="C540" s="40" t="n">
        <x:v>300</x:v>
      </x:c>
      <x:c r="D540" s="41" t="n">
        <x:v>0.9392</x:v>
      </x:c>
      <x:c r="E540" s="41" t="n">
        <x:v>0.0915</x:v>
      </x:c>
      <x:c r="F540" s="48" t="str">
        <x:v>experiments/results/cade_ids/300/07.21-23.18.54/cade_ids_apigraph_cnt300_127_seed1_test_2013-01_2018-12.csv</x:v>
      </x:c>
    </x:row>
    <x:row r="541" ht="20" customHeight="1">
      <x:c r="A541" s="27" t="str">
        <x:v>CADE-IDS</x:v>
      </x:c>
      <x:c r="B541" s="30" t="str">
        <x:v>2015-09</x:v>
      </x:c>
      <x:c r="C541" s="40" t="n">
        <x:v>300</x:v>
      </x:c>
      <x:c r="D541" s="41" t="n">
        <x:v>0.8467</x:v>
      </x:c>
      <x:c r="E541" s="41" t="n">
        <x:v>0.2324</x:v>
      </x:c>
      <x:c r="F541" s="48" t="str">
        <x:v>experiments/results/cade_ids/300/07.21-23.18.54/cade_ids_apigraph_cnt300_127_seed1_test_2013-01_2018-12.csv</x:v>
      </x:c>
    </x:row>
    <x:row r="542" ht="20" customHeight="1">
      <x:c r="A542" s="27" t="str">
        <x:v>CADE-IDS</x:v>
      </x:c>
      <x:c r="B542" s="30" t="str">
        <x:v>2015-10</x:v>
      </x:c>
      <x:c r="C542" s="40" t="n">
        <x:v>300</x:v>
      </x:c>
      <x:c r="D542" s="41" t="n">
        <x:v>0.8217</x:v>
      </x:c>
      <x:c r="E542" s="41" t="n">
        <x:v>0.2674</x:v>
      </x:c>
      <x:c r="F542" s="48" t="str">
        <x:v>experiments/results/cade_ids/300/07.21-23.18.54/cade_ids_apigraph_cnt300_127_seed1_test_2013-01_2018-12.csv</x:v>
      </x:c>
    </x:row>
    <x:row r="543" ht="20" customHeight="1">
      <x:c r="A543" s="27" t="str">
        <x:v>CADE-IDS</x:v>
      </x:c>
      <x:c r="B543" s="30" t="str">
        <x:v>2015-11</x:v>
      </x:c>
      <x:c r="C543" s="40" t="n">
        <x:v>300</x:v>
      </x:c>
      <x:c r="D543" s="41" t="n">
        <x:v>0.8581</x:v>
      </x:c>
      <x:c r="E543" s="41" t="n">
        <x:v>0.2008</x:v>
      </x:c>
      <x:c r="F543" s="48" t="str">
        <x:v>experiments/results/cade_ids/300/07.21-23.18.54/cade_ids_apigraph_cnt300_127_seed1_test_2013-01_2018-12.csv</x:v>
      </x:c>
    </x:row>
    <x:row r="544" ht="20" customHeight="1">
      <x:c r="A544" s="27" t="str">
        <x:v>CADE-IDS</x:v>
      </x:c>
      <x:c r="B544" s="30" t="str">
        <x:v>2015-12</x:v>
      </x:c>
      <x:c r="C544" s="40" t="n">
        <x:v>300</x:v>
      </x:c>
      <x:c r="D544" s="41" t="n">
        <x:v>0.896</x:v>
      </x:c>
      <x:c r="E544" s="41" t="n">
        <x:v>0.131</x:v>
      </x:c>
      <x:c r="F544" s="48" t="str">
        <x:v>experiments/results/cade_ids/300/07.21-23.18.54/cade_ids_apigraph_cnt300_127_seed1_test_2013-01_2018-12.csv</x:v>
      </x:c>
    </x:row>
    <x:row r="545" ht="20" customHeight="1">
      <x:c r="A545" s="27" t="str">
        <x:v>CADE-IDS</x:v>
      </x:c>
      <x:c r="B545" s="30" t="str">
        <x:v>2016-01</x:v>
      </x:c>
      <x:c r="C545" s="40" t="n">
        <x:v>300</x:v>
      </x:c>
      <x:c r="D545" s="41" t="n">
        <x:v>0.9187</x:v>
      </x:c>
      <x:c r="E545" s="41" t="n">
        <x:v>0.1193</x:v>
      </x:c>
      <x:c r="F545" s="48" t="str">
        <x:v>experiments/results/cade_ids/300/07.21-23.18.54/cade_ids_apigraph_cnt300_127_seed1_test_2013-01_2018-12.csv</x:v>
      </x:c>
    </x:row>
    <x:row r="546" ht="20" customHeight="1">
      <x:c r="A546" s="27" t="str">
        <x:v>CADE-IDS</x:v>
      </x:c>
      <x:c r="B546" s="30" t="str">
        <x:v>2016-02</x:v>
      </x:c>
      <x:c r="C546" s="40" t="n">
        <x:v>300</x:v>
      </x:c>
      <x:c r="D546" s="41" t="n">
        <x:v>0.9397</x:v>
      </x:c>
      <x:c r="E546" s="41" t="n">
        <x:v>0.0668</x:v>
      </x:c>
      <x:c r="F546" s="48" t="str">
        <x:v>experiments/results/cade_ids/300/07.21-23.18.54/cade_ids_apigraph_cnt300_127_seed1_test_2013-01_2018-12.csv</x:v>
      </x:c>
    </x:row>
    <x:row r="547" ht="20" customHeight="1">
      <x:c r="A547" s="27" t="str">
        <x:v>CADE-IDS</x:v>
      </x:c>
      <x:c r="B547" s="30" t="str">
        <x:v>2016-03</x:v>
      </x:c>
      <x:c r="C547" s="40" t="n">
        <x:v>300</x:v>
      </x:c>
      <x:c r="D547" s="41" t="n">
        <x:v>0.9424</x:v>
      </x:c>
      <x:c r="E547" s="41" t="n">
        <x:v>0.0618</x:v>
      </x:c>
      <x:c r="F547" s="48" t="str">
        <x:v>experiments/results/cade_ids/300/07.21-23.18.54/cade_ids_apigraph_cnt300_127_seed1_test_2013-01_2018-12.csv</x:v>
      </x:c>
    </x:row>
    <x:row r="548" ht="20" customHeight="1">
      <x:c r="A548" s="27" t="str">
        <x:v>CADE-IDS</x:v>
      </x:c>
      <x:c r="B548" s="30" t="str">
        <x:v>2016-04</x:v>
      </x:c>
      <x:c r="C548" s="40" t="n">
        <x:v>300</x:v>
      </x:c>
      <x:c r="D548" s="41" t="n">
        <x:v>0.9253</x:v>
      </x:c>
      <x:c r="E548" s="41" t="n">
        <x:v>0.0532</x:v>
      </x:c>
      <x:c r="F548" s="48" t="str">
        <x:v>experiments/results/cade_ids/300/07.21-23.18.54/cade_ids_apigraph_cnt300_127_seed1_test_2013-01_2018-12.csv</x:v>
      </x:c>
    </x:row>
    <x:row r="549" ht="20" customHeight="1">
      <x:c r="A549" s="27" t="str">
        <x:v>CADE-IDS</x:v>
      </x:c>
      <x:c r="B549" s="30" t="str">
        <x:v>2016-05</x:v>
      </x:c>
      <x:c r="C549" s="40" t="n">
        <x:v>300</x:v>
      </x:c>
      <x:c r="D549" s="41" t="n">
        <x:v>0.9332</x:v>
      </x:c>
      <x:c r="E549" s="41" t="n">
        <x:v>0.0776</x:v>
      </x:c>
      <x:c r="F549" s="48" t="str">
        <x:v>experiments/results/cade_ids/300/07.21-23.18.54/cade_ids_apigraph_cnt300_127_seed1_test_2013-01_2018-12.csv</x:v>
      </x:c>
    </x:row>
    <x:row r="550" ht="20" customHeight="1">
      <x:c r="A550" s="27" t="str">
        <x:v>CADE-IDS</x:v>
      </x:c>
      <x:c r="B550" s="30" t="str">
        <x:v>2016-06</x:v>
      </x:c>
      <x:c r="C550" s="40" t="n">
        <x:v>300</x:v>
      </x:c>
      <x:c r="D550" s="41" t="n">
        <x:v>0.9339</x:v>
      </x:c>
      <x:c r="E550" s="41" t="n">
        <x:v>0.0671</x:v>
      </x:c>
      <x:c r="F550" s="48" t="str">
        <x:v>experiments/results/cade_ids/300/07.21-23.18.54/cade_ids_apigraph_cnt300_127_seed1_test_2013-01_2018-12.csv</x:v>
      </x:c>
    </x:row>
    <x:row r="551" ht="20" customHeight="1">
      <x:c r="A551" s="27" t="str">
        <x:v>CADE-IDS</x:v>
      </x:c>
      <x:c r="B551" s="30" t="str">
        <x:v>2016-07</x:v>
      </x:c>
      <x:c r="C551" s="40" t="n">
        <x:v>300</x:v>
      </x:c>
      <x:c r="D551" s="41" t="n">
        <x:v>0.9181</x:v>
      </x:c>
      <x:c r="E551" s="41" t="n">
        <x:v>0.0915</x:v>
      </x:c>
      <x:c r="F551" s="48" t="str">
        <x:v>experiments/results/cade_ids/300/07.21-23.18.54/cade_ids_apigraph_cnt300_127_seed1_test_2013-01_2018-12.csv</x:v>
      </x:c>
    </x:row>
    <x:row r="552" ht="20" customHeight="1">
      <x:c r="A552" s="27" t="str">
        <x:v>CADE-IDS</x:v>
      </x:c>
      <x:c r="B552" s="30" t="str">
        <x:v>2016-08</x:v>
      </x:c>
      <x:c r="C552" s="40" t="n">
        <x:v>300</x:v>
      </x:c>
      <x:c r="D552" s="41" t="n">
        <x:v>0.9205</x:v>
      </x:c>
      <x:c r="E552" s="41" t="n">
        <x:v>0.0684</x:v>
      </x:c>
      <x:c r="F552" s="48" t="str">
        <x:v>experiments/results/cade_ids/300/07.21-23.18.54/cade_ids_apigraph_cnt300_127_seed1_test_2013-01_2018-12.csv</x:v>
      </x:c>
    </x:row>
    <x:row r="553" ht="20" customHeight="1">
      <x:c r="A553" s="27" t="str">
        <x:v>CADE-IDS</x:v>
      </x:c>
      <x:c r="B553" s="30" t="str">
        <x:v>2016-09</x:v>
      </x:c>
      <x:c r="C553" s="40" t="n">
        <x:v>300</x:v>
      </x:c>
      <x:c r="D553" s="41" t="n">
        <x:v>0.9255</x:v>
      </x:c>
      <x:c r="E553" s="41" t="n">
        <x:v>0.0933</x:v>
      </x:c>
      <x:c r="F553" s="48" t="str">
        <x:v>experiments/results/cade_ids/300/07.21-23.18.54/cade_ids_apigraph_cnt300_127_seed1_test_2013-01_2018-12.csv</x:v>
      </x:c>
    </x:row>
    <x:row r="554" ht="20" customHeight="1">
      <x:c r="A554" s="27" t="str">
        <x:v>CADE-IDS</x:v>
      </x:c>
      <x:c r="B554" s="30" t="str">
        <x:v>2016-10</x:v>
      </x:c>
      <x:c r="C554" s="40" t="n">
        <x:v>300</x:v>
      </x:c>
      <x:c r="D554" s="41" t="n">
        <x:v>0.9461</x:v>
      </x:c>
      <x:c r="E554" s="41" t="n">
        <x:v>0.0366</x:v>
      </x:c>
      <x:c r="F554" s="48" t="str">
        <x:v>experiments/results/cade_ids/300/07.21-23.18.54/cade_ids_apigraph_cnt300_127_seed1_test_2013-01_2018-12.csv</x:v>
      </x:c>
    </x:row>
    <x:row r="555" ht="20" customHeight="1">
      <x:c r="A555" s="27" t="str">
        <x:v>CADE-IDS</x:v>
      </x:c>
      <x:c r="B555" s="30" t="str">
        <x:v>2016-11</x:v>
      </x:c>
      <x:c r="C555" s="40" t="n">
        <x:v>300</x:v>
      </x:c>
      <x:c r="D555" s="41" t="n">
        <x:v>0.9477</x:v>
      </x:c>
      <x:c r="E555" s="41" t="n">
        <x:v>0.0667</x:v>
      </x:c>
      <x:c r="F555" s="48" t="str">
        <x:v>experiments/results/cade_ids/300/07.21-23.18.54/cade_ids_apigraph_cnt300_127_seed1_test_2013-01_2018-12.csv</x:v>
      </x:c>
    </x:row>
    <x:row r="556" ht="20" customHeight="1">
      <x:c r="A556" s="27" t="str">
        <x:v>CADE-IDS</x:v>
      </x:c>
      <x:c r="B556" s="30" t="str">
        <x:v>2016-12</x:v>
      </x:c>
      <x:c r="C556" s="40" t="n">
        <x:v>300</x:v>
      </x:c>
      <x:c r="D556" s="41" t="n">
        <x:v>0.8642</x:v>
      </x:c>
      <x:c r="E556" s="41" t="n">
        <x:v>0.202</x:v>
      </x:c>
      <x:c r="F556" s="48" t="str">
        <x:v>experiments/results/cade_ids/300/07.21-23.18.54/cade_ids_apigraph_cnt300_127_seed1_test_2013-01_2018-12.csv</x:v>
      </x:c>
    </x:row>
    <x:row r="557" ht="20" customHeight="1">
      <x:c r="A557" s="27" t="str">
        <x:v>CADE-IDS</x:v>
      </x:c>
      <x:c r="B557" s="30" t="str">
        <x:v>2017-01</x:v>
      </x:c>
      <x:c r="C557" s="40" t="n">
        <x:v>300</x:v>
      </x:c>
      <x:c r="D557" s="41" t="n">
        <x:v>0.9105</x:v>
      </x:c>
      <x:c r="E557" s="41" t="n">
        <x:v>0.0938</x:v>
      </x:c>
      <x:c r="F557" s="48" t="str">
        <x:v>experiments/results/cade_ids/300/07.21-23.18.54/cade_ids_apigraph_cnt300_127_seed1_test_2013-01_2018-12.csv</x:v>
      </x:c>
    </x:row>
    <x:row r="558" ht="20" customHeight="1">
      <x:c r="A558" s="27" t="str">
        <x:v>CADE-IDS</x:v>
      </x:c>
      <x:c r="B558" s="30" t="str">
        <x:v>2017-02</x:v>
      </x:c>
      <x:c r="C558" s="40" t="n">
        <x:v>300</x:v>
      </x:c>
      <x:c r="D558" s="41" t="n">
        <x:v>0.9451</x:v>
      </x:c>
      <x:c r="E558" s="41" t="n">
        <x:v>0.0652</x:v>
      </x:c>
      <x:c r="F558" s="48" t="str">
        <x:v>experiments/results/cade_ids/300/07.21-23.18.54/cade_ids_apigraph_cnt300_127_seed1_test_2013-01_2018-12.csv</x:v>
      </x:c>
    </x:row>
    <x:row r="559" ht="20" customHeight="1">
      <x:c r="A559" s="27" t="str">
        <x:v>CADE-IDS</x:v>
      </x:c>
      <x:c r="B559" s="30" t="str">
        <x:v>2017-03</x:v>
      </x:c>
      <x:c r="C559" s="40" t="n">
        <x:v>300</x:v>
      </x:c>
      <x:c r="D559" s="41" t="n">
        <x:v>0.875</x:v>
      </x:c>
      <x:c r="E559" s="41" t="n">
        <x:v>0.1145</x:v>
      </x:c>
      <x:c r="F559" s="48" t="str">
        <x:v>experiments/results/cade_ids/300/07.21-23.18.54/cade_ids_apigraph_cnt300_127_seed1_test_2013-01_2018-12.csv</x:v>
      </x:c>
    </x:row>
    <x:row r="560" ht="20" customHeight="1">
      <x:c r="A560" s="27" t="str">
        <x:v>CADE-IDS</x:v>
      </x:c>
      <x:c r="B560" s="30" t="str">
        <x:v>2017-04</x:v>
      </x:c>
      <x:c r="C560" s="40" t="n">
        <x:v>300</x:v>
      </x:c>
      <x:c r="D560" s="41" t="n">
        <x:v>0.8671</x:v>
      </x:c>
      <x:c r="E560" s="41" t="n">
        <x:v>0.2</x:v>
      </x:c>
      <x:c r="F560" s="48" t="str">
        <x:v>experiments/results/cade_ids/300/07.21-23.18.54/cade_ids_apigraph_cnt300_127_seed1_test_2013-01_2018-12.csv</x:v>
      </x:c>
    </x:row>
    <x:row r="561" ht="20" customHeight="1">
      <x:c r="A561" s="27" t="str">
        <x:v>CADE-IDS</x:v>
      </x:c>
      <x:c r="B561" s="30" t="str">
        <x:v>2017-05</x:v>
      </x:c>
      <x:c r="C561" s="40" t="n">
        <x:v>300</x:v>
      </x:c>
      <x:c r="D561" s="41" t="n">
        <x:v>0.8901</x:v>
      </x:c>
      <x:c r="E561" s="41" t="n">
        <x:v>0.1414</x:v>
      </x:c>
      <x:c r="F561" s="48" t="str">
        <x:v>experiments/results/cade_ids/300/07.21-23.18.54/cade_ids_apigraph_cnt300_127_seed1_test_2013-01_2018-12.csv</x:v>
      </x:c>
    </x:row>
    <x:row r="562" ht="20" customHeight="1">
      <x:c r="A562" s="27" t="str">
        <x:v>CADE-IDS</x:v>
      </x:c>
      <x:c r="B562" s="30" t="str">
        <x:v>2017-06</x:v>
      </x:c>
      <x:c r="C562" s="40" t="n">
        <x:v>300</x:v>
      </x:c>
      <x:c r="D562" s="41" t="n">
        <x:v>0.9156</x:v>
      </x:c>
      <x:c r="E562" s="41" t="n">
        <x:v>0.0885</x:v>
      </x:c>
      <x:c r="F562" s="48" t="str">
        <x:v>experiments/results/cade_ids/300/07.21-23.18.54/cade_ids_apigraph_cnt300_127_seed1_test_2013-01_2018-12.csv</x:v>
      </x:c>
    </x:row>
    <x:row r="563" ht="20" customHeight="1">
      <x:c r="A563" s="27" t="str">
        <x:v>CADE-IDS</x:v>
      </x:c>
      <x:c r="B563" s="30" t="str">
        <x:v>2017-07</x:v>
      </x:c>
      <x:c r="C563" s="40" t="n">
        <x:v>300</x:v>
      </x:c>
      <x:c r="D563" s="41" t="n">
        <x:v>0.9106</x:v>
      </x:c>
      <x:c r="E563" s="41" t="n">
        <x:v>0.1016</x:v>
      </x:c>
      <x:c r="F563" s="48" t="str">
        <x:v>experiments/results/cade_ids/300/07.21-23.18.54/cade_ids_apigraph_cnt300_127_seed1_test_2013-01_2018-12.csv</x:v>
      </x:c>
    </x:row>
    <x:row r="564" ht="20" customHeight="1">
      <x:c r="A564" s="27" t="str">
        <x:v>CADE-IDS</x:v>
      </x:c>
      <x:c r="B564" s="30" t="str">
        <x:v>2017-08</x:v>
      </x:c>
      <x:c r="C564" s="40" t="n">
        <x:v>300</x:v>
      </x:c>
      <x:c r="D564" s="41" t="n">
        <x:v>0.9378</x:v>
      </x:c>
      <x:c r="E564" s="41" t="n">
        <x:v>0.0574</x:v>
      </x:c>
      <x:c r="F564" s="48" t="str">
        <x:v>experiments/results/cade_ids/300/07.21-23.18.54/cade_ids_apigraph_cnt300_127_seed1_test_2013-01_2018-12.csv</x:v>
      </x:c>
    </x:row>
    <x:row r="565" ht="20" customHeight="1">
      <x:c r="A565" s="27" t="str">
        <x:v>CADE-IDS</x:v>
      </x:c>
      <x:c r="B565" s="30" t="str">
        <x:v>2017-09</x:v>
      </x:c>
      <x:c r="C565" s="40" t="n">
        <x:v>300</x:v>
      </x:c>
      <x:c r="D565" s="41" t="n">
        <x:v>0.9124</x:v>
      </x:c>
      <x:c r="E565" s="41" t="n">
        <x:v>0.0382</x:v>
      </x:c>
      <x:c r="F565" s="48" t="str">
        <x:v>experiments/results/cade_ids/300/07.21-23.18.54/cade_ids_apigraph_cnt300_127_seed1_test_2013-01_2018-12.csv</x:v>
      </x:c>
    </x:row>
    <x:row r="566" ht="20" customHeight="1">
      <x:c r="A566" s="27" t="str">
        <x:v>CADE-IDS</x:v>
      </x:c>
      <x:c r="B566" s="30" t="str">
        <x:v>2017-10</x:v>
      </x:c>
      <x:c r="C566" s="40" t="n">
        <x:v>300</x:v>
      </x:c>
      <x:c r="D566" s="41" t="n">
        <x:v>0.8629</x:v>
      </x:c>
      <x:c r="E566" s="41" t="n">
        <x:v>0.1312</x:v>
      </x:c>
      <x:c r="F566" s="48" t="str">
        <x:v>experiments/results/cade_ids/300/07.21-23.18.54/cade_ids_apigraph_cnt300_127_seed1_test_2013-01_2018-12.csv</x:v>
      </x:c>
    </x:row>
    <x:row r="567" ht="20" customHeight="1">
      <x:c r="A567" s="27" t="str">
        <x:v>CADE-IDS</x:v>
      </x:c>
      <x:c r="B567" s="30" t="str">
        <x:v>2017-11</x:v>
      </x:c>
      <x:c r="C567" s="40" t="n">
        <x:v>300</x:v>
      </x:c>
      <x:c r="D567" s="41" t="n">
        <x:v>0.883</x:v>
      </x:c>
      <x:c r="E567" s="41" t="n">
        <x:v>0.0978</x:v>
      </x:c>
      <x:c r="F567" s="48" t="str">
        <x:v>experiments/results/cade_ids/300/07.21-23.18.54/cade_ids_apigraph_cnt300_127_seed1_test_2013-01_2018-12.csv</x:v>
      </x:c>
    </x:row>
    <x:row r="568" ht="20" customHeight="1">
      <x:c r="A568" s="27" t="str">
        <x:v>CADE-IDS</x:v>
      </x:c>
      <x:c r="B568" s="30" t="str">
        <x:v>2017-12</x:v>
      </x:c>
      <x:c r="C568" s="40" t="n">
        <x:v>300</x:v>
      </x:c>
      <x:c r="D568" s="41" t="n">
        <x:v>0.8989</x:v>
      </x:c>
      <x:c r="E568" s="41" t="n">
        <x:v>0.04</x:v>
      </x:c>
      <x:c r="F568" s="48" t="str">
        <x:v>experiments/results/cade_ids/300/07.21-23.18.54/cade_ids_apigraph_cnt300_127_seed1_test_2013-01_2018-12.csv</x:v>
      </x:c>
    </x:row>
    <x:row r="569" ht="20" customHeight="1">
      <x:c r="A569" s="27" t="str">
        <x:v>CADE-IDS</x:v>
      </x:c>
      <x:c r="B569" s="30" t="str">
        <x:v>2018-01</x:v>
      </x:c>
      <x:c r="C569" s="40" t="n">
        <x:v>300</x:v>
      </x:c>
      <x:c r="D569" s="41" t="n">
        <x:v>0.8932</x:v>
      </x:c>
      <x:c r="E569" s="41" t="n">
        <x:v>0.098</x:v>
      </x:c>
      <x:c r="F569" s="48" t="str">
        <x:v>experiments/results/cade_ids/300/07.21-23.18.54/cade_ids_apigraph_cnt300_127_seed1_test_2013-01_2018-12.csv</x:v>
      </x:c>
    </x:row>
    <x:row r="570" ht="20" customHeight="1">
      <x:c r="A570" s="27" t="str">
        <x:v>CADE-IDS</x:v>
      </x:c>
      <x:c r="B570" s="30" t="str">
        <x:v>2018-02</x:v>
      </x:c>
      <x:c r="C570" s="40" t="n">
        <x:v>300</x:v>
      </x:c>
      <x:c r="D570" s="41" t="n">
        <x:v>0.9315</x:v>
      </x:c>
      <x:c r="E570" s="41" t="n">
        <x:v>0.0621</x:v>
      </x:c>
      <x:c r="F570" s="48" t="str">
        <x:v>experiments/results/cade_ids/300/07.21-23.18.54/cade_ids_apigraph_cnt300_127_seed1_test_2013-01_2018-12.csv</x:v>
      </x:c>
    </x:row>
    <x:row r="571" ht="20" customHeight="1">
      <x:c r="A571" s="27" t="str">
        <x:v>CADE-IDS</x:v>
      </x:c>
      <x:c r="B571" s="30" t="str">
        <x:v>2018-03</x:v>
      </x:c>
      <x:c r="C571" s="40" t="n">
        <x:v>300</x:v>
      </x:c>
      <x:c r="D571" s="41" t="n">
        <x:v>0.8958</x:v>
      </x:c>
      <x:c r="E571" s="41" t="n">
        <x:v>0.0584</x:v>
      </x:c>
      <x:c r="F571" s="48" t="str">
        <x:v>experiments/results/cade_ids/300/07.21-23.18.54/cade_ids_apigraph_cnt300_127_seed1_test_2013-01_2018-12.csv</x:v>
      </x:c>
    </x:row>
    <x:row r="572" ht="20" customHeight="1">
      <x:c r="A572" s="27" t="str">
        <x:v>CADE-IDS</x:v>
      </x:c>
      <x:c r="B572" s="30" t="str">
        <x:v>2018-04</x:v>
      </x:c>
      <x:c r="C572" s="40" t="n">
        <x:v>300</x:v>
      </x:c>
      <x:c r="D572" s="41" t="n">
        <x:v>0.9183</x:v>
      </x:c>
      <x:c r="E572" s="41" t="n">
        <x:v>0.0605</x:v>
      </x:c>
      <x:c r="F572" s="48" t="str">
        <x:v>experiments/results/cade_ids/300/07.21-23.18.54/cade_ids_apigraph_cnt300_127_seed1_test_2013-01_2018-12.csv</x:v>
      </x:c>
    </x:row>
    <x:row r="573" ht="20" customHeight="1">
      <x:c r="A573" s="27" t="str">
        <x:v>CADE-IDS</x:v>
      </x:c>
      <x:c r="B573" s="30" t="str">
        <x:v>2018-05</x:v>
      </x:c>
      <x:c r="C573" s="40" t="n">
        <x:v>300</x:v>
      </x:c>
      <x:c r="D573" s="41" t="n">
        <x:v>0.9287</x:v>
      </x:c>
      <x:c r="E573" s="41" t="n">
        <x:v>0.0579</x:v>
      </x:c>
      <x:c r="F573" s="48" t="str">
        <x:v>experiments/results/cade_ids/300/07.21-23.18.54/cade_ids_apigraph_cnt300_127_seed1_test_2013-01_2018-12.csv</x:v>
      </x:c>
    </x:row>
    <x:row r="574" ht="20" customHeight="1">
      <x:c r="A574" s="27" t="str">
        <x:v>CADE-IDS</x:v>
      </x:c>
      <x:c r="B574" s="30" t="str">
        <x:v>2018-06</x:v>
      </x:c>
      <x:c r="C574" s="40" t="n">
        <x:v>300</x:v>
      </x:c>
      <x:c r="D574" s="41" t="n">
        <x:v>0.9526</x:v>
      </x:c>
      <x:c r="E574" s="41" t="n">
        <x:v>0.0544</x:v>
      </x:c>
      <x:c r="F574" s="48" t="str">
        <x:v>experiments/results/cade_ids/300/07.21-23.18.54/cade_ids_apigraph_cnt300_127_seed1_test_2013-01_2018-12.csv</x:v>
      </x:c>
    </x:row>
    <x:row r="575" ht="20" customHeight="1">
      <x:c r="A575" s="27" t="str">
        <x:v>CADE-IDS</x:v>
      </x:c>
      <x:c r="B575" s="30" t="str">
        <x:v>2018-07</x:v>
      </x:c>
      <x:c r="C575" s="40" t="n">
        <x:v>300</x:v>
      </x:c>
      <x:c r="D575" s="41" t="n">
        <x:v>0.9229</x:v>
      </x:c>
      <x:c r="E575" s="41" t="n">
        <x:v>0.1045</x:v>
      </x:c>
      <x:c r="F575" s="48" t="str">
        <x:v>experiments/results/cade_ids/300/07.21-23.18.54/cade_ids_apigraph_cnt300_127_seed1_test_2013-01_2018-12.csv</x:v>
      </x:c>
    </x:row>
    <x:row r="576" ht="20" customHeight="1">
      <x:c r="A576" s="27" t="str">
        <x:v>CADE-IDS</x:v>
      </x:c>
      <x:c r="B576" s="30" t="str">
        <x:v>2018-08</x:v>
      </x:c>
      <x:c r="C576" s="40" t="n">
        <x:v>300</x:v>
      </x:c>
      <x:c r="D576" s="41" t="n">
        <x:v>0.9002</x:v>
      </x:c>
      <x:c r="E576" s="41" t="n">
        <x:v>0.1168</x:v>
      </x:c>
      <x:c r="F576" s="48" t="str">
        <x:v>experiments/results/cade_ids/300/07.21-23.18.54/cade_ids_apigraph_cnt300_127_seed1_test_2013-01_2018-12.csv</x:v>
      </x:c>
    </x:row>
    <x:row r="577" ht="20" customHeight="1">
      <x:c r="A577" s="27" t="str">
        <x:v>CADE-IDS</x:v>
      </x:c>
      <x:c r="B577" s="30" t="str">
        <x:v>2018-09</x:v>
      </x:c>
      <x:c r="C577" s="40" t="n">
        <x:v>300</x:v>
      </x:c>
      <x:c r="D577" s="41" t="n">
        <x:v>0.8545</x:v>
      </x:c>
      <x:c r="E577" s="41" t="n">
        <x:v>0.1856</x:v>
      </x:c>
      <x:c r="F577" s="48" t="str">
        <x:v>experiments/results/cade_ids/300/07.21-23.18.54/cade_ids_apigraph_cnt300_127_seed1_test_2013-01_2018-12.csv</x:v>
      </x:c>
    </x:row>
    <x:row r="578" ht="20" customHeight="1">
      <x:c r="A578" s="27" t="str">
        <x:v>CADE-IDS</x:v>
      </x:c>
      <x:c r="B578" s="30" t="str">
        <x:v>2018-10</x:v>
      </x:c>
      <x:c r="C578" s="40" t="n">
        <x:v>300</x:v>
      </x:c>
      <x:c r="D578" s="41" t="n">
        <x:v>0.8761</x:v>
      </x:c>
      <x:c r="E578" s="41" t="n">
        <x:v>0.1826</x:v>
      </x:c>
      <x:c r="F578" s="48" t="str">
        <x:v>experiments/results/cade_ids/300/07.21-23.18.54/cade_ids_apigraph_cnt300_127_seed1_test_2013-01_2018-12.csv</x:v>
      </x:c>
    </x:row>
    <x:row r="579" ht="20" customHeight="1">
      <x:c r="A579" s="27" t="str">
        <x:v>CADE-IDS</x:v>
      </x:c>
      <x:c r="B579" s="30" t="str">
        <x:v>2018-11</x:v>
      </x:c>
      <x:c r="C579" s="40" t="n">
        <x:v>300</x:v>
      </x:c>
      <x:c r="D579" s="41" t="n">
        <x:v>0.931</x:v>
      </x:c>
      <x:c r="E579" s="41" t="n">
        <x:v>0.0592</x:v>
      </x:c>
      <x:c r="F579" s="48" t="str">
        <x:v>experiments/results/cade_ids/300/07.21-23.18.54/cade_ids_apigraph_cnt300_127_seed1_test_2013-01_2018-12.csv</x:v>
      </x:c>
    </x:row>
    <x:row r="580" ht="20" customHeight="1">
      <x:c r="A580" s="27" t="str">
        <x:v>CADE-IDS</x:v>
      </x:c>
      <x:c r="B580" s="30" t="str">
        <x:v>2018-12</x:v>
      </x:c>
      <x:c r="C580" s="40" t="n">
        <x:v>300</x:v>
      </x:c>
      <x:c r="D580" s="41" t="n">
        <x:v>0.959</x:v>
      </x:c>
      <x:c r="E580" s="41" t="n">
        <x:v>0.0311</x:v>
      </x:c>
      <x:c r="F580" s="48" t="str">
        <x:v>experiments/results/cade_ids/300/07.21-23.18.54/cade_ids_apigraph_cnt300_127_seed1_test_2013-01_2018-12.csv</x:v>
      </x:c>
    </x:row>
    <x:row r="581" ht="20" customHeight="1">
      <x:c r="A581" s="27" t="str">
        <x:v>HCL</x:v>
      </x:c>
      <x:c r="B581" s="30" t="str">
        <x:v>2013-01</x:v>
      </x:c>
      <x:c r="C581" s="40" t="n">
        <x:v>50</x:v>
      </x:c>
      <x:c r="D581" s="41" t="n">
        <x:v>0.9558</x:v>
      </x:c>
      <x:c r="E581" s="41" t="n">
        <x:v>0.026</x:v>
      </x:c>
      <x:c r="F581" s="48" t="str">
        <x:v>experiments/results/hcl/50/07.22-10.54.56/gen_apigraph_cnt50_001_warm_lr0.003_sgd_step_0.95_e250_adam_wlr0.00015_we100_test_2013-01_2018-12_cnt50.csv</x:v>
      </x:c>
    </x:row>
    <x:row r="582" ht="20" customHeight="1">
      <x:c r="A582" s="27" t="str">
        <x:v>HCL</x:v>
      </x:c>
      <x:c r="B582" s="30" t="str">
        <x:v>2013-02</x:v>
      </x:c>
      <x:c r="C582" s="40" t="n">
        <x:v>50</x:v>
      </x:c>
      <x:c r="D582" s="41" t="n">
        <x:v>0.9067</x:v>
      </x:c>
      <x:c r="E582" s="41" t="n">
        <x:v>0.15</x:v>
      </x:c>
      <x:c r="F582" s="48" t="str">
        <x:v>experiments/results/hcl/50/07.22-10.54.56/gen_apigraph_cnt50_001_warm_lr0.003_sgd_step_0.95_e250_adam_wlr0.00015_we100_test_2013-01_2018-12_cnt50.csv</x:v>
      </x:c>
    </x:row>
    <x:row r="583" ht="20" customHeight="1">
      <x:c r="A583" s="27" t="str">
        <x:v>HCL</x:v>
      </x:c>
      <x:c r="B583" s="30" t="str">
        <x:v>2013-03</x:v>
      </x:c>
      <x:c r="C583" s="40" t="n">
        <x:v>50</x:v>
      </x:c>
      <x:c r="D583" s="41" t="n">
        <x:v>0.9062</x:v>
      </x:c>
      <x:c r="E583" s="41" t="n">
        <x:v>0.1395</x:v>
      </x:c>
      <x:c r="F583" s="48" t="str">
        <x:v>experiments/results/hcl/50/07.22-10.54.56/gen_apigraph_cnt50_001_warm_lr0.003_sgd_step_0.95_e250_adam_wlr0.00015_we100_test_2013-01_2018-12_cnt50.csv</x:v>
      </x:c>
    </x:row>
    <x:row r="584" ht="20" customHeight="1">
      <x:c r="A584" s="27" t="str">
        <x:v>HCL</x:v>
      </x:c>
      <x:c r="B584" s="30" t="str">
        <x:v>2013-04</x:v>
      </x:c>
      <x:c r="C584" s="40" t="n">
        <x:v>50</x:v>
      </x:c>
      <x:c r="D584" s="41" t="n">
        <x:v>0.9151</x:v>
      </x:c>
      <x:c r="E584" s="41" t="n">
        <x:v>0.1414</x:v>
      </x:c>
      <x:c r="F584" s="48" t="str">
        <x:v>experiments/results/hcl/50/07.22-10.54.56/gen_apigraph_cnt50_001_warm_lr0.003_sgd_step_0.95_e250_adam_wlr0.00015_we100_test_2013-01_2018-12_cnt50.csv</x:v>
      </x:c>
    </x:row>
    <x:row r="585" ht="20" customHeight="1">
      <x:c r="A585" s="27" t="str">
        <x:v>HCL</x:v>
      </x:c>
      <x:c r="B585" s="30" t="str">
        <x:v>2013-05</x:v>
      </x:c>
      <x:c r="C585" s="40" t="n">
        <x:v>50</x:v>
      </x:c>
      <x:c r="D585" s="41" t="n">
        <x:v>0.8339</x:v>
      </x:c>
      <x:c r="E585" s="41" t="n">
        <x:v>0.2759</x:v>
      </x:c>
      <x:c r="F585" s="48" t="str">
        <x:v>experiments/results/hcl/50/07.22-10.54.56/gen_apigraph_cnt50_001_warm_lr0.003_sgd_step_0.95_e250_adam_wlr0.00015_we100_test_2013-01_2018-12_cnt50.csv</x:v>
      </x:c>
    </x:row>
    <x:row r="586" ht="20" customHeight="1">
      <x:c r="A586" s="27" t="str">
        <x:v>HCL</x:v>
      </x:c>
      <x:c r="B586" s="30" t="str">
        <x:v>2013-06</x:v>
      </x:c>
      <x:c r="C586" s="40" t="n">
        <x:v>50</x:v>
      </x:c>
      <x:c r="D586" s="41" t="n">
        <x:v>0.8969</x:v>
      </x:c>
      <x:c r="E586" s="41" t="n">
        <x:v>0.1509</x:v>
      </x:c>
      <x:c r="F586" s="48" t="str">
        <x:v>experiments/results/hcl/50/07.22-10.54.56/gen_apigraph_cnt50_001_warm_lr0.003_sgd_step_0.95_e250_adam_wlr0.00015_we100_test_2013-01_2018-12_cnt50.csv</x:v>
      </x:c>
    </x:row>
    <x:row r="587" ht="20" customHeight="1">
      <x:c r="A587" s="27" t="str">
        <x:v>HCL</x:v>
      </x:c>
      <x:c r="B587" s="30" t="str">
        <x:v>2013-07</x:v>
      </x:c>
      <x:c r="C587" s="40" t="n">
        <x:v>50</x:v>
      </x:c>
      <x:c r="D587" s="41" t="n">
        <x:v>0.93</x:v>
      </x:c>
      <x:c r="E587" s="41" t="n">
        <x:v>0.1067</x:v>
      </x:c>
      <x:c r="F587" s="48" t="str">
        <x:v>experiments/results/hcl/50/07.22-10.54.56/gen_apigraph_cnt50_001_warm_lr0.003_sgd_step_0.95_e250_adam_wlr0.00015_we100_test_2013-01_2018-12_cnt50.csv</x:v>
      </x:c>
    </x:row>
    <x:row r="588" ht="20" customHeight="1">
      <x:c r="A588" s="27" t="str">
        <x:v>HCL</x:v>
      </x:c>
      <x:c r="B588" s="30" t="str">
        <x:v>2013-08</x:v>
      </x:c>
      <x:c r="C588" s="40" t="n">
        <x:v>50</x:v>
      </x:c>
      <x:c r="D588" s="41" t="n">
        <x:v>0.9123</x:v>
      </x:c>
      <x:c r="E588" s="41" t="n">
        <x:v>0.1405</x:v>
      </x:c>
      <x:c r="F588" s="48" t="str">
        <x:v>experiments/results/hcl/50/07.22-10.54.56/gen_apigraph_cnt50_001_warm_lr0.003_sgd_step_0.95_e250_adam_wlr0.00015_we100_test_2013-01_2018-12_cnt50.csv</x:v>
      </x:c>
    </x:row>
    <x:row r="589" ht="20" customHeight="1">
      <x:c r="A589" s="27" t="str">
        <x:v>HCL</x:v>
      </x:c>
      <x:c r="B589" s="30" t="str">
        <x:v>2013-09</x:v>
      </x:c>
      <x:c r="C589" s="40" t="n">
        <x:v>50</x:v>
      </x:c>
      <x:c r="D589" s="41" t="n">
        <x:v>0.8775</x:v>
      </x:c>
      <x:c r="E589" s="41" t="n">
        <x:v>0.176</x:v>
      </x:c>
      <x:c r="F589" s="48" t="str">
        <x:v>experiments/results/hcl/50/07.22-10.54.56/gen_apigraph_cnt50_001_warm_lr0.003_sgd_step_0.95_e250_adam_wlr0.00015_we100_test_2013-01_2018-12_cnt50.csv</x:v>
      </x:c>
    </x:row>
    <x:row r="590" ht="20" customHeight="1">
      <x:c r="A590" s="27" t="str">
        <x:v>HCL</x:v>
      </x:c>
      <x:c r="B590" s="30" t="str">
        <x:v>2013-10</x:v>
      </x:c>
      <x:c r="C590" s="40" t="n">
        <x:v>50</x:v>
      </x:c>
      <x:c r="D590" s="41" t="n">
        <x:v>0.8784</x:v>
      </x:c>
      <x:c r="E590" s="41" t="n">
        <x:v>0.1824</x:v>
      </x:c>
      <x:c r="F590" s="48" t="str">
        <x:v>experiments/results/hcl/50/07.22-10.54.56/gen_apigraph_cnt50_001_warm_lr0.003_sgd_step_0.95_e250_adam_wlr0.00015_we100_test_2013-01_2018-12_cnt50.csv</x:v>
      </x:c>
    </x:row>
    <x:row r="591" ht="20" customHeight="1">
      <x:c r="A591" s="27" t="str">
        <x:v>HCL</x:v>
      </x:c>
      <x:c r="B591" s="30" t="str">
        <x:v>2013-11</x:v>
      </x:c>
      <x:c r="C591" s="40" t="n">
        <x:v>50</x:v>
      </x:c>
      <x:c r="D591" s="41" t="n">
        <x:v>0.854</x:v>
      </x:c>
      <x:c r="E591" s="41" t="n">
        <x:v>0.2141</x:v>
      </x:c>
      <x:c r="F591" s="48" t="str">
        <x:v>experiments/results/hcl/50/07.22-10.54.56/gen_apigraph_cnt50_001_warm_lr0.003_sgd_step_0.95_e250_adam_wlr0.00015_we100_test_2013-01_2018-12_cnt50.csv</x:v>
      </x:c>
    </x:row>
    <x:row r="592" ht="20" customHeight="1">
      <x:c r="A592" s="27" t="str">
        <x:v>HCL</x:v>
      </x:c>
      <x:c r="B592" s="30" t="str">
        <x:v>2013-12</x:v>
      </x:c>
      <x:c r="C592" s="40" t="n">
        <x:v>50</x:v>
      </x:c>
      <x:c r="D592" s="41" t="n">
        <x:v>0.8777</x:v>
      </x:c>
      <x:c r="E592" s="41" t="n">
        <x:v>0.1944</x:v>
      </x:c>
      <x:c r="F592" s="48" t="str">
        <x:v>experiments/results/hcl/50/07.22-10.54.56/gen_apigraph_cnt50_001_warm_lr0.003_sgd_step_0.95_e250_adam_wlr0.00015_we100_test_2013-01_2018-12_cnt50.csv</x:v>
      </x:c>
    </x:row>
    <x:row r="593" ht="20" customHeight="1">
      <x:c r="A593" s="27" t="str">
        <x:v>HCL</x:v>
      </x:c>
      <x:c r="B593" s="30" t="str">
        <x:v>2014-01</x:v>
      </x:c>
      <x:c r="C593" s="40" t="n">
        <x:v>50</x:v>
      </x:c>
      <x:c r="D593" s="41" t="n">
        <x:v>0.8402</x:v>
      </x:c>
      <x:c r="E593" s="41" t="n">
        <x:v>0.2373</x:v>
      </x:c>
      <x:c r="F593" s="48" t="str">
        <x:v>experiments/results/hcl/50/07.22-10.54.56/gen_apigraph_cnt50_001_warm_lr0.003_sgd_step_0.95_e250_adam_wlr0.00015_we100_test_2013-01_2018-12_cnt50.csv</x:v>
      </x:c>
    </x:row>
    <x:row r="594" ht="20" customHeight="1">
      <x:c r="A594" s="27" t="str">
        <x:v>HCL</x:v>
      </x:c>
      <x:c r="B594" s="30" t="str">
        <x:v>2014-02</x:v>
      </x:c>
      <x:c r="C594" s="40" t="n">
        <x:v>50</x:v>
      </x:c>
      <x:c r="D594" s="41" t="n">
        <x:v>0.9079</x:v>
      </x:c>
      <x:c r="E594" s="41" t="n">
        <x:v>0.1232</x:v>
      </x:c>
      <x:c r="F594" s="48" t="str">
        <x:v>experiments/results/hcl/50/07.22-10.54.56/gen_apigraph_cnt50_001_warm_lr0.003_sgd_step_0.95_e250_adam_wlr0.00015_we100_test_2013-01_2018-12_cnt50.csv</x:v>
      </x:c>
    </x:row>
    <x:row r="595" ht="20" customHeight="1">
      <x:c r="A595" s="27" t="str">
        <x:v>HCL</x:v>
      </x:c>
      <x:c r="B595" s="30" t="str">
        <x:v>2014-03</x:v>
      </x:c>
      <x:c r="C595" s="40" t="n">
        <x:v>50</x:v>
      </x:c>
      <x:c r="D595" s="41" t="n">
        <x:v>0.8627</x:v>
      </x:c>
      <x:c r="E595" s="41" t="n">
        <x:v>0.1923</x:v>
      </x:c>
      <x:c r="F595" s="48" t="str">
        <x:v>experiments/results/hcl/50/07.22-10.54.56/gen_apigraph_cnt50_001_warm_lr0.003_sgd_step_0.95_e250_adam_wlr0.00015_we100_test_2013-01_2018-12_cnt50.csv</x:v>
      </x:c>
    </x:row>
    <x:row r="596" ht="20" customHeight="1">
      <x:c r="A596" s="27" t="str">
        <x:v>HCL</x:v>
      </x:c>
      <x:c r="B596" s="30" t="str">
        <x:v>2014-04</x:v>
      </x:c>
      <x:c r="C596" s="40" t="n">
        <x:v>50</x:v>
      </x:c>
      <x:c r="D596" s="41" t="n">
        <x:v>0.82</x:v>
      </x:c>
      <x:c r="E596" s="41" t="n">
        <x:v>0.2341</x:v>
      </x:c>
      <x:c r="F596" s="48" t="str">
        <x:v>experiments/results/hcl/50/07.22-10.54.56/gen_apigraph_cnt50_001_warm_lr0.003_sgd_step_0.95_e250_adam_wlr0.00015_we100_test_2013-01_2018-12_cnt50.csv</x:v>
      </x:c>
    </x:row>
    <x:row r="597" ht="20" customHeight="1">
      <x:c r="A597" s="27" t="str">
        <x:v>HCL</x:v>
      </x:c>
      <x:c r="B597" s="30" t="str">
        <x:v>2014-05</x:v>
      </x:c>
      <x:c r="C597" s="40" t="n">
        <x:v>50</x:v>
      </x:c>
      <x:c r="D597" s="41" t="n">
        <x:v>0.7927</x:v>
      </x:c>
      <x:c r="E597" s="41" t="n">
        <x:v>0.2998</x:v>
      </x:c>
      <x:c r="F597" s="48" t="str">
        <x:v>experiments/results/hcl/50/07.22-10.54.56/gen_apigraph_cnt50_001_warm_lr0.003_sgd_step_0.95_e250_adam_wlr0.00015_we100_test_2013-01_2018-12_cnt50.csv</x:v>
      </x:c>
    </x:row>
    <x:row r="598" ht="20" customHeight="1">
      <x:c r="A598" s="27" t="str">
        <x:v>HCL</x:v>
      </x:c>
      <x:c r="B598" s="30" t="str">
        <x:v>2014-06</x:v>
      </x:c>
      <x:c r="C598" s="40" t="n">
        <x:v>50</x:v>
      </x:c>
      <x:c r="D598" s="41" t="n">
        <x:v>0.7122</x:v>
      </x:c>
      <x:c r="E598" s="41" t="n">
        <x:v>0.4036</x:v>
      </x:c>
      <x:c r="F598" s="48" t="str">
        <x:v>experiments/results/hcl/50/07.22-10.54.56/gen_apigraph_cnt50_001_warm_lr0.003_sgd_step_0.95_e250_adam_wlr0.00015_we100_test_2013-01_2018-12_cnt50.csv</x:v>
      </x:c>
    </x:row>
    <x:row r="599" ht="20" customHeight="1">
      <x:c r="A599" s="27" t="str">
        <x:v>HCL</x:v>
      </x:c>
      <x:c r="B599" s="30" t="str">
        <x:v>2014-07</x:v>
      </x:c>
      <x:c r="C599" s="40" t="n">
        <x:v>50</x:v>
      </x:c>
      <x:c r="D599" s="41" t="n">
        <x:v>0.7554</x:v>
      </x:c>
      <x:c r="E599" s="41" t="n">
        <x:v>0.3687</x:v>
      </x:c>
      <x:c r="F599" s="48" t="str">
        <x:v>experiments/results/hcl/50/07.22-10.54.56/gen_apigraph_cnt50_001_warm_lr0.003_sgd_step_0.95_e250_adam_wlr0.00015_we100_test_2013-01_2018-12_cnt50.csv</x:v>
      </x:c>
    </x:row>
    <x:row r="600" ht="20" customHeight="1">
      <x:c r="A600" s="27" t="str">
        <x:v>HCL</x:v>
      </x:c>
      <x:c r="B600" s="30" t="str">
        <x:v>2014-08</x:v>
      </x:c>
      <x:c r="C600" s="40" t="n">
        <x:v>50</x:v>
      </x:c>
      <x:c r="D600" s="41" t="n">
        <x:v>0.8307</x:v>
      </x:c>
      <x:c r="E600" s="41" t="n">
        <x:v>0.2581</x:v>
      </x:c>
      <x:c r="F600" s="48" t="str">
        <x:v>experiments/results/hcl/50/07.22-10.54.56/gen_apigraph_cnt50_001_warm_lr0.003_sgd_step_0.95_e250_adam_wlr0.00015_we100_test_2013-01_2018-12_cnt50.csv</x:v>
      </x:c>
    </x:row>
    <x:row r="601" ht="20" customHeight="1">
      <x:c r="A601" s="27" t="str">
        <x:v>HCL</x:v>
      </x:c>
      <x:c r="B601" s="30" t="str">
        <x:v>2014-09</x:v>
      </x:c>
      <x:c r="C601" s="40" t="n">
        <x:v>50</x:v>
      </x:c>
      <x:c r="D601" s="41" t="n">
        <x:v>0.8148</x:v>
      </x:c>
      <x:c r="E601" s="41" t="n">
        <x:v>0.2701</x:v>
      </x:c>
      <x:c r="F601" s="48" t="str">
        <x:v>experiments/results/hcl/50/07.22-10.54.56/gen_apigraph_cnt50_001_warm_lr0.003_sgd_step_0.95_e250_adam_wlr0.00015_we100_test_2013-01_2018-12_cnt50.csv</x:v>
      </x:c>
    </x:row>
    <x:row r="602" ht="20" customHeight="1">
      <x:c r="A602" s="27" t="str">
        <x:v>HCL</x:v>
      </x:c>
      <x:c r="B602" s="30" t="str">
        <x:v>2014-10</x:v>
      </x:c>
      <x:c r="C602" s="40" t="n">
        <x:v>50</x:v>
      </x:c>
      <x:c r="D602" s="41" t="n">
        <x:v>0.8111</x:v>
      </x:c>
      <x:c r="E602" s="41" t="n">
        <x:v>0.2843</x:v>
      </x:c>
      <x:c r="F602" s="48" t="str">
        <x:v>experiments/results/hcl/50/07.22-10.54.56/gen_apigraph_cnt50_001_warm_lr0.003_sgd_step_0.95_e250_adam_wlr0.00015_we100_test_2013-01_2018-12_cnt50.csv</x:v>
      </x:c>
    </x:row>
    <x:row r="603" ht="20" customHeight="1">
      <x:c r="A603" s="27" t="str">
        <x:v>HCL</x:v>
      </x:c>
      <x:c r="B603" s="30" t="str">
        <x:v>2014-11</x:v>
      </x:c>
      <x:c r="C603" s="40" t="n">
        <x:v>50</x:v>
      </x:c>
      <x:c r="D603" s="41" t="n">
        <x:v>0.8772</x:v>
      </x:c>
      <x:c r="E603" s="41" t="n">
        <x:v>0.1744</x:v>
      </x:c>
      <x:c r="F603" s="48" t="str">
        <x:v>experiments/results/hcl/50/07.22-10.54.56/gen_apigraph_cnt50_001_warm_lr0.003_sgd_step_0.95_e250_adam_wlr0.00015_we100_test_2013-01_2018-12_cnt50.csv</x:v>
      </x:c>
    </x:row>
    <x:row r="604" ht="20" customHeight="1">
      <x:c r="A604" s="27" t="str">
        <x:v>HCL</x:v>
      </x:c>
      <x:c r="B604" s="30" t="str">
        <x:v>2014-12</x:v>
      </x:c>
      <x:c r="C604" s="40" t="n">
        <x:v>50</x:v>
      </x:c>
      <x:c r="D604" s="41" t="n">
        <x:v>0.8462</x:v>
      </x:c>
      <x:c r="E604" s="41" t="n">
        <x:v>0.2353</x:v>
      </x:c>
      <x:c r="F604" s="48" t="str">
        <x:v>experiments/results/hcl/50/07.22-10.54.56/gen_apigraph_cnt50_001_warm_lr0.003_sgd_step_0.95_e250_adam_wlr0.00015_we100_test_2013-01_2018-12_cnt50.csv</x:v>
      </x:c>
    </x:row>
    <x:row r="605" ht="20" customHeight="1">
      <x:c r="A605" s="27" t="str">
        <x:v>HCL</x:v>
      </x:c>
      <x:c r="B605" s="30" t="str">
        <x:v>2015-01</x:v>
      </x:c>
      <x:c r="C605" s="40" t="n">
        <x:v>50</x:v>
      </x:c>
      <x:c r="D605" s="41" t="n">
        <x:v>0.8578</x:v>
      </x:c>
      <x:c r="E605" s="41" t="n">
        <x:v>0.2364</x:v>
      </x:c>
      <x:c r="F605" s="48" t="str">
        <x:v>experiments/results/hcl/50/07.22-10.54.56/gen_apigraph_cnt50_001_warm_lr0.003_sgd_step_0.95_e250_adam_wlr0.00015_we100_test_2013-01_2018-12_cnt50.csv</x:v>
      </x:c>
    </x:row>
    <x:row r="606" ht="20" customHeight="1">
      <x:c r="A606" s="27" t="str">
        <x:v>HCL</x:v>
      </x:c>
      <x:c r="B606" s="30" t="str">
        <x:v>2015-02</x:v>
      </x:c>
      <x:c r="C606" s="40" t="n">
        <x:v>50</x:v>
      </x:c>
      <x:c r="D606" s="41" t="n">
        <x:v>0.9204</x:v>
      </x:c>
      <x:c r="E606" s="41" t="n">
        <x:v>0.1245</x:v>
      </x:c>
      <x:c r="F606" s="48" t="str">
        <x:v>experiments/results/hcl/50/07.22-10.54.56/gen_apigraph_cnt50_001_warm_lr0.003_sgd_step_0.95_e250_adam_wlr0.00015_we100_test_2013-01_2018-12_cnt50.csv</x:v>
      </x:c>
    </x:row>
    <x:row r="607" ht="20" customHeight="1">
      <x:c r="A607" s="27" t="str">
        <x:v>HCL</x:v>
      </x:c>
      <x:c r="B607" s="30" t="str">
        <x:v>2015-03</x:v>
      </x:c>
      <x:c r="C607" s="40" t="n">
        <x:v>50</x:v>
      </x:c>
      <x:c r="D607" s="41" t="n">
        <x:v>0.8976</x:v>
      </x:c>
      <x:c r="E607" s="41" t="n">
        <x:v>0.172</x:v>
      </x:c>
      <x:c r="F607" s="48" t="str">
        <x:v>experiments/results/hcl/50/07.22-10.54.56/gen_apigraph_cnt50_001_warm_lr0.003_sgd_step_0.95_e250_adam_wlr0.00015_we100_test_2013-01_2018-12_cnt50.csv</x:v>
      </x:c>
    </x:row>
    <x:row r="608" ht="20" customHeight="1">
      <x:c r="A608" s="27" t="str">
        <x:v>HCL</x:v>
      </x:c>
      <x:c r="B608" s="30" t="str">
        <x:v>2015-04</x:v>
      </x:c>
      <x:c r="C608" s="40" t="n">
        <x:v>50</x:v>
      </x:c>
      <x:c r="D608" s="41" t="n">
        <x:v>0.9219</x:v>
      </x:c>
      <x:c r="E608" s="41" t="n">
        <x:v>0.1285</x:v>
      </x:c>
      <x:c r="F608" s="48" t="str">
        <x:v>experiments/results/hcl/50/07.22-10.54.56/gen_apigraph_cnt50_001_warm_lr0.003_sgd_step_0.95_e250_adam_wlr0.00015_we100_test_2013-01_2018-12_cnt50.csv</x:v>
      </x:c>
    </x:row>
    <x:row r="609" ht="20" customHeight="1">
      <x:c r="A609" s="27" t="str">
        <x:v>HCL</x:v>
      </x:c>
      <x:c r="B609" s="30" t="str">
        <x:v>2015-05</x:v>
      </x:c>
      <x:c r="C609" s="40" t="n">
        <x:v>50</x:v>
      </x:c>
      <x:c r="D609" s="41" t="n">
        <x:v>0.9203</x:v>
      </x:c>
      <x:c r="E609" s="41" t="n">
        <x:v>0.1284</x:v>
      </x:c>
      <x:c r="F609" s="48" t="str">
        <x:v>experiments/results/hcl/50/07.22-10.54.56/gen_apigraph_cnt50_001_warm_lr0.003_sgd_step_0.95_e250_adam_wlr0.00015_we100_test_2013-01_2018-12_cnt50.csv</x:v>
      </x:c>
    </x:row>
    <x:row r="610" ht="20" customHeight="1">
      <x:c r="A610" s="27" t="str">
        <x:v>HCL</x:v>
      </x:c>
      <x:c r="B610" s="30" t="str">
        <x:v>2015-06</x:v>
      </x:c>
      <x:c r="C610" s="40" t="n">
        <x:v>50</x:v>
      </x:c>
      <x:c r="D610" s="41" t="n">
        <x:v>0.8688</x:v>
      </x:c>
      <x:c r="E610" s="41" t="n">
        <x:v>0.2101</x:v>
      </x:c>
      <x:c r="F610" s="48" t="str">
        <x:v>experiments/results/hcl/50/07.22-10.54.56/gen_apigraph_cnt50_001_warm_lr0.003_sgd_step_0.95_e250_adam_wlr0.00015_we100_test_2013-01_2018-12_cnt50.csv</x:v>
      </x:c>
    </x:row>
    <x:row r="611" ht="20" customHeight="1">
      <x:c r="A611" s="27" t="str">
        <x:v>HCL</x:v>
      </x:c>
      <x:c r="B611" s="30" t="str">
        <x:v>2015-07</x:v>
      </x:c>
      <x:c r="C611" s="40" t="n">
        <x:v>50</x:v>
      </x:c>
      <x:c r="D611" s="41" t="n">
        <x:v>0.8631</x:v>
      </x:c>
      <x:c r="E611" s="41" t="n">
        <x:v>0.2138</x:v>
      </x:c>
      <x:c r="F611" s="48" t="str">
        <x:v>experiments/results/hcl/50/07.22-10.54.56/gen_apigraph_cnt50_001_warm_lr0.003_sgd_step_0.95_e250_adam_wlr0.00015_we100_test_2013-01_2018-12_cnt50.csv</x:v>
      </x:c>
    </x:row>
    <x:row r="612" ht="20" customHeight="1">
      <x:c r="A612" s="27" t="str">
        <x:v>HCL</x:v>
      </x:c>
      <x:c r="B612" s="30" t="str">
        <x:v>2015-08</x:v>
      </x:c>
      <x:c r="C612" s="40" t="n">
        <x:v>50</x:v>
      </x:c>
      <x:c r="D612" s="41" t="n">
        <x:v>0.9119</x:v>
      </x:c>
      <x:c r="E612" s="41" t="n">
        <x:v>0.1373</x:v>
      </x:c>
      <x:c r="F612" s="48" t="str">
        <x:v>experiments/results/hcl/50/07.22-10.54.56/gen_apigraph_cnt50_001_warm_lr0.003_sgd_step_0.95_e250_adam_wlr0.00015_we100_test_2013-01_2018-12_cnt50.csv</x:v>
      </x:c>
    </x:row>
    <x:row r="613" ht="20" customHeight="1">
      <x:c r="A613" s="27" t="str">
        <x:v>HCL</x:v>
      </x:c>
      <x:c r="B613" s="30" t="str">
        <x:v>2015-09</x:v>
      </x:c>
      <x:c r="C613" s="40" t="n">
        <x:v>50</x:v>
      </x:c>
      <x:c r="D613" s="41" t="n">
        <x:v>0.7971</x:v>
      </x:c>
      <x:c r="E613" s="41" t="n">
        <x:v>0.3154</x:v>
      </x:c>
      <x:c r="F613" s="48" t="str">
        <x:v>experiments/results/hcl/50/07.22-10.54.56/gen_apigraph_cnt50_001_warm_lr0.003_sgd_step_0.95_e250_adam_wlr0.00015_we100_test_2013-01_2018-12_cnt50.csv</x:v>
      </x:c>
    </x:row>
    <x:row r="614" ht="20" customHeight="1">
      <x:c r="A614" s="27" t="str">
        <x:v>HCL</x:v>
      </x:c>
      <x:c r="B614" s="30" t="str">
        <x:v>2015-10</x:v>
      </x:c>
      <x:c r="C614" s="40" t="n">
        <x:v>50</x:v>
      </x:c>
      <x:c r="D614" s="41" t="n">
        <x:v>0.7315</x:v>
      </x:c>
      <x:c r="E614" s="41" t="n">
        <x:v>0.4063</x:v>
      </x:c>
      <x:c r="F614" s="48" t="str">
        <x:v>experiments/results/hcl/50/07.22-10.54.56/gen_apigraph_cnt50_001_warm_lr0.003_sgd_step_0.95_e250_adam_wlr0.00015_we100_test_2013-01_2018-12_cnt50.csv</x:v>
      </x:c>
    </x:row>
    <x:row r="615" ht="20" customHeight="1">
      <x:c r="A615" s="27" t="str">
        <x:v>HCL</x:v>
      </x:c>
      <x:c r="B615" s="30" t="str">
        <x:v>2015-11</x:v>
      </x:c>
      <x:c r="C615" s="40" t="n">
        <x:v>50</x:v>
      </x:c>
      <x:c r="D615" s="41" t="n">
        <x:v>0.8439</x:v>
      </x:c>
      <x:c r="E615" s="41" t="n">
        <x:v>0.252</x:v>
      </x:c>
      <x:c r="F615" s="48" t="str">
        <x:v>experiments/results/hcl/50/07.22-10.54.56/gen_apigraph_cnt50_001_warm_lr0.003_sgd_step_0.95_e250_adam_wlr0.00015_we100_test_2013-01_2018-12_cnt50.csv</x:v>
      </x:c>
    </x:row>
    <x:row r="616" ht="20" customHeight="1">
      <x:c r="A616" s="27" t="str">
        <x:v>HCL</x:v>
      </x:c>
      <x:c r="B616" s="30" t="str">
        <x:v>2015-12</x:v>
      </x:c>
      <x:c r="C616" s="40" t="n">
        <x:v>50</x:v>
      </x:c>
      <x:c r="D616" s="41" t="n">
        <x:v>0.9117</x:v>
      </x:c>
      <x:c r="E616" s="41" t="n">
        <x:v>0.1414</x:v>
      </x:c>
      <x:c r="F616" s="48" t="str">
        <x:v>experiments/results/hcl/50/07.22-10.54.56/gen_apigraph_cnt50_001_warm_lr0.003_sgd_step_0.95_e250_adam_wlr0.00015_we100_test_2013-01_2018-12_cnt50.csv</x:v>
      </x:c>
    </x:row>
    <x:row r="617" ht="20" customHeight="1">
      <x:c r="A617" s="27" t="str">
        <x:v>HCL</x:v>
      </x:c>
      <x:c r="B617" s="30" t="str">
        <x:v>2016-01</x:v>
      </x:c>
      <x:c r="C617" s="40" t="n">
        <x:v>50</x:v>
      </x:c>
      <x:c r="D617" s="41" t="n">
        <x:v>0.8279</x:v>
      </x:c>
      <x:c r="E617" s="41" t="n">
        <x:v>0.2775</x:v>
      </x:c>
      <x:c r="F617" s="48" t="str">
        <x:v>experiments/results/hcl/50/07.22-10.54.56/gen_apigraph_cnt50_001_warm_lr0.003_sgd_step_0.95_e250_adam_wlr0.00015_we100_test_2013-01_2018-12_cnt50.csv</x:v>
      </x:c>
    </x:row>
    <x:row r="618" ht="20" customHeight="1">
      <x:c r="A618" s="27" t="str">
        <x:v>HCL</x:v>
      </x:c>
      <x:c r="B618" s="30" t="str">
        <x:v>2016-02</x:v>
      </x:c>
      <x:c r="C618" s="40" t="n">
        <x:v>50</x:v>
      </x:c>
      <x:c r="D618" s="41" t="n">
        <x:v>0.934</x:v>
      </x:c>
      <x:c r="E618" s="41" t="n">
        <x:v>0.1037</x:v>
      </x:c>
      <x:c r="F618" s="48" t="str">
        <x:v>experiments/results/hcl/50/07.22-10.54.56/gen_apigraph_cnt50_001_warm_lr0.003_sgd_step_0.95_e250_adam_wlr0.00015_we100_test_2013-01_2018-12_cnt50.csv</x:v>
      </x:c>
    </x:row>
    <x:row r="619" ht="20" customHeight="1">
      <x:c r="A619" s="27" t="str">
        <x:v>HCL</x:v>
      </x:c>
      <x:c r="B619" s="30" t="str">
        <x:v>2016-03</x:v>
      </x:c>
      <x:c r="C619" s="40" t="n">
        <x:v>50</x:v>
      </x:c>
      <x:c r="D619" s="41" t="n">
        <x:v>0.9082</x:v>
      </x:c>
      <x:c r="E619" s="41" t="n">
        <x:v>0.1479</x:v>
      </x:c>
      <x:c r="F619" s="48" t="str">
        <x:v>experiments/results/hcl/50/07.22-10.54.56/gen_apigraph_cnt50_001_warm_lr0.003_sgd_step_0.95_e250_adam_wlr0.00015_we100_test_2013-01_2018-12_cnt50.csv</x:v>
      </x:c>
    </x:row>
    <x:row r="620" ht="20" customHeight="1">
      <x:c r="A620" s="27" t="str">
        <x:v>HCL</x:v>
      </x:c>
      <x:c r="B620" s="30" t="str">
        <x:v>2016-04</x:v>
      </x:c>
      <x:c r="C620" s="40" t="n">
        <x:v>50</x:v>
      </x:c>
      <x:c r="D620" s="41" t="n">
        <x:v>0.8808</x:v>
      </x:c>
      <x:c r="E620" s="41" t="n">
        <x:v>0.162</x:v>
      </x:c>
      <x:c r="F620" s="48" t="str">
        <x:v>experiments/results/hcl/50/07.22-10.54.56/gen_apigraph_cnt50_001_warm_lr0.003_sgd_step_0.95_e250_adam_wlr0.00015_we100_test_2013-01_2018-12_cnt50.csv</x:v>
      </x:c>
    </x:row>
    <x:row r="621" ht="20" customHeight="1">
      <x:c r="A621" s="27" t="str">
        <x:v>HCL</x:v>
      </x:c>
      <x:c r="B621" s="30" t="str">
        <x:v>2016-05</x:v>
      </x:c>
      <x:c r="C621" s="40" t="n">
        <x:v>50</x:v>
      </x:c>
      <x:c r="D621" s="41" t="n">
        <x:v>0.926</x:v>
      </x:c>
      <x:c r="E621" s="41" t="n">
        <x:v>0.1216</x:v>
      </x:c>
      <x:c r="F621" s="48" t="str">
        <x:v>experiments/results/hcl/50/07.22-10.54.56/gen_apigraph_cnt50_001_warm_lr0.003_sgd_step_0.95_e250_adam_wlr0.00015_we100_test_2013-01_2018-12_cnt50.csv</x:v>
      </x:c>
    </x:row>
    <x:row r="622" ht="20" customHeight="1">
      <x:c r="A622" s="27" t="str">
        <x:v>HCL</x:v>
      </x:c>
      <x:c r="B622" s="30" t="str">
        <x:v>2016-06</x:v>
      </x:c>
      <x:c r="C622" s="40" t="n">
        <x:v>50</x:v>
      </x:c>
      <x:c r="D622" s="41" t="n">
        <x:v>0.9383</x:v>
      </x:c>
      <x:c r="E622" s="41" t="n">
        <x:v>0.0874</x:v>
      </x:c>
      <x:c r="F622" s="48" t="str">
        <x:v>experiments/results/hcl/50/07.22-10.54.56/gen_apigraph_cnt50_001_warm_lr0.003_sgd_step_0.95_e250_adam_wlr0.00015_we100_test_2013-01_2018-12_cnt50.csv</x:v>
      </x:c>
    </x:row>
    <x:row r="623" ht="20" customHeight="1">
      <x:c r="A623" s="27" t="str">
        <x:v>HCL</x:v>
      </x:c>
      <x:c r="B623" s="30" t="str">
        <x:v>2016-07</x:v>
      </x:c>
      <x:c r="C623" s="40" t="n">
        <x:v>50</x:v>
      </x:c>
      <x:c r="D623" s="41" t="n">
        <x:v>0.92</x:v>
      </x:c>
      <x:c r="E623" s="41" t="n">
        <x:v>0.104</x:v>
      </x:c>
      <x:c r="F623" s="48" t="str">
        <x:v>experiments/results/hcl/50/07.22-10.54.56/gen_apigraph_cnt50_001_warm_lr0.003_sgd_step_0.95_e250_adam_wlr0.00015_we100_test_2013-01_2018-12_cnt50.csv</x:v>
      </x:c>
    </x:row>
    <x:row r="624" ht="20" customHeight="1">
      <x:c r="A624" s="27" t="str">
        <x:v>HCL</x:v>
      </x:c>
      <x:c r="B624" s="30" t="str">
        <x:v>2016-08</x:v>
      </x:c>
      <x:c r="C624" s="40" t="n">
        <x:v>50</x:v>
      </x:c>
      <x:c r="D624" s="41" t="n">
        <x:v>0.9066</x:v>
      </x:c>
      <x:c r="E624" s="41" t="n">
        <x:v>0.1308</x:v>
      </x:c>
      <x:c r="F624" s="48" t="str">
        <x:v>experiments/results/hcl/50/07.22-10.54.56/gen_apigraph_cnt50_001_warm_lr0.003_sgd_step_0.95_e250_adam_wlr0.00015_we100_test_2013-01_2018-12_cnt50.csv</x:v>
      </x:c>
    </x:row>
    <x:row r="625" ht="20" customHeight="1">
      <x:c r="A625" s="27" t="str">
        <x:v>HCL</x:v>
      </x:c>
      <x:c r="B625" s="30" t="str">
        <x:v>2016-09</x:v>
      </x:c>
      <x:c r="C625" s="40" t="n">
        <x:v>50</x:v>
      </x:c>
      <x:c r="D625" s="41" t="n">
        <x:v>0.8731</x:v>
      </x:c>
      <x:c r="E625" s="41" t="n">
        <x:v>0.2049</x:v>
      </x:c>
      <x:c r="F625" s="48" t="str">
        <x:v>experiments/results/hcl/50/07.22-10.54.56/gen_apigraph_cnt50_001_warm_lr0.003_sgd_step_0.95_e250_adam_wlr0.00015_we100_test_2013-01_2018-12_cnt50.csv</x:v>
      </x:c>
    </x:row>
    <x:row r="626" ht="20" customHeight="1">
      <x:c r="A626" s="27" t="str">
        <x:v>HCL</x:v>
      </x:c>
      <x:c r="B626" s="30" t="str">
        <x:v>2016-10</x:v>
      </x:c>
      <x:c r="C626" s="40" t="n">
        <x:v>50</x:v>
      </x:c>
      <x:c r="D626" s="41" t="n">
        <x:v>0.9044</x:v>
      </x:c>
      <x:c r="E626" s="41" t="n">
        <x:v>0.1443</x:v>
      </x:c>
      <x:c r="F626" s="48" t="str">
        <x:v>experiments/results/hcl/50/07.22-10.54.56/gen_apigraph_cnt50_001_warm_lr0.003_sgd_step_0.95_e250_adam_wlr0.00015_we100_test_2013-01_2018-12_cnt50.csv</x:v>
      </x:c>
    </x:row>
    <x:row r="627" ht="20" customHeight="1">
      <x:c r="A627" s="27" t="str">
        <x:v>HCL</x:v>
      </x:c>
      <x:c r="B627" s="30" t="str">
        <x:v>2016-11</x:v>
      </x:c>
      <x:c r="C627" s="40" t="n">
        <x:v>50</x:v>
      </x:c>
      <x:c r="D627" s="41" t="n">
        <x:v>0.7972</x:v>
      </x:c>
      <x:c r="E627" s="41" t="n">
        <x:v>0.3152</x:v>
      </x:c>
      <x:c r="F627" s="48" t="str">
        <x:v>experiments/results/hcl/50/07.22-10.54.56/gen_apigraph_cnt50_001_warm_lr0.003_sgd_step_0.95_e250_adam_wlr0.00015_we100_test_2013-01_2018-12_cnt50.csv</x:v>
      </x:c>
    </x:row>
    <x:row r="628" ht="20" customHeight="1">
      <x:c r="A628" s="27" t="str">
        <x:v>HCL</x:v>
      </x:c>
      <x:c r="B628" s="30" t="str">
        <x:v>2016-12</x:v>
      </x:c>
      <x:c r="C628" s="40" t="n">
        <x:v>50</x:v>
      </x:c>
      <x:c r="D628" s="41" t="n">
        <x:v>0.8688</x:v>
      </x:c>
      <x:c r="E628" s="41" t="n">
        <x:v>0.202</x:v>
      </x:c>
      <x:c r="F628" s="48" t="str">
        <x:v>experiments/results/hcl/50/07.22-10.54.56/gen_apigraph_cnt50_001_warm_lr0.003_sgd_step_0.95_e250_adam_wlr0.00015_we100_test_2013-01_2018-12_cnt50.csv</x:v>
      </x:c>
    </x:row>
    <x:row r="629" ht="20" customHeight="1">
      <x:c r="A629" s="27" t="str">
        <x:v>HCL</x:v>
      </x:c>
      <x:c r="B629" s="30" t="str">
        <x:v>2017-01</x:v>
      </x:c>
      <x:c r="C629" s="40" t="n">
        <x:v>50</x:v>
      </x:c>
      <x:c r="D629" s="41" t="n">
        <x:v>0.8918</x:v>
      </x:c>
      <x:c r="E629" s="41" t="n">
        <x:v>0.1375</x:v>
      </x:c>
      <x:c r="F629" s="48" t="str">
        <x:v>experiments/results/hcl/50/07.22-10.54.56/gen_apigraph_cnt50_001_warm_lr0.003_sgd_step_0.95_e250_adam_wlr0.00015_we100_test_2013-01_2018-12_cnt50.csv</x:v>
      </x:c>
    </x:row>
    <x:row r="630" ht="20" customHeight="1">
      <x:c r="A630" s="27" t="str">
        <x:v>HCL</x:v>
      </x:c>
      <x:c r="B630" s="30" t="str">
        <x:v>2017-02</x:v>
      </x:c>
      <x:c r="C630" s="40" t="n">
        <x:v>50</x:v>
      </x:c>
      <x:c r="D630" s="41" t="n">
        <x:v>0.9352</x:v>
      </x:c>
      <x:c r="E630" s="41" t="n">
        <x:v>0.0978</x:v>
      </x:c>
      <x:c r="F630" s="48" t="str">
        <x:v>experiments/results/hcl/50/07.22-10.54.56/gen_apigraph_cnt50_001_warm_lr0.003_sgd_step_0.95_e250_adam_wlr0.00015_we100_test_2013-01_2018-12_cnt50.csv</x:v>
      </x:c>
    </x:row>
    <x:row r="631" ht="20" customHeight="1">
      <x:c r="A631" s="27" t="str">
        <x:v>HCL</x:v>
      </x:c>
      <x:c r="B631" s="30" t="str">
        <x:v>2017-03</x:v>
      </x:c>
      <x:c r="C631" s="40" t="n">
        <x:v>50</x:v>
      </x:c>
      <x:c r="D631" s="41" t="n">
        <x:v>0.8698</x:v>
      </x:c>
      <x:c r="E631" s="41" t="n">
        <x:v>0.1446</x:v>
      </x:c>
      <x:c r="F631" s="48" t="str">
        <x:v>experiments/results/hcl/50/07.22-10.54.56/gen_apigraph_cnt50_001_warm_lr0.003_sgd_step_0.95_e250_adam_wlr0.00015_we100_test_2013-01_2018-12_cnt50.csv</x:v>
      </x:c>
    </x:row>
    <x:row r="632" ht="20" customHeight="1">
      <x:c r="A632" s="27" t="str">
        <x:v>HCL</x:v>
      </x:c>
      <x:c r="B632" s="30" t="str">
        <x:v>2017-04</x:v>
      </x:c>
      <x:c r="C632" s="40" t="n">
        <x:v>50</x:v>
      </x:c>
      <x:c r="D632" s="41" t="n">
        <x:v>0.8214</x:v>
      </x:c>
      <x:c r="E632" s="41" t="n">
        <x:v>0.2581</x:v>
      </x:c>
      <x:c r="F632" s="48" t="str">
        <x:v>experiments/results/hcl/50/07.22-10.54.56/gen_apigraph_cnt50_001_warm_lr0.003_sgd_step_0.95_e250_adam_wlr0.00015_we100_test_2013-01_2018-12_cnt50.csv</x:v>
      </x:c>
    </x:row>
    <x:row r="633" ht="20" customHeight="1">
      <x:c r="A633" s="27" t="str">
        <x:v>HCL</x:v>
      </x:c>
      <x:c r="B633" s="30" t="str">
        <x:v>2017-05</x:v>
      </x:c>
      <x:c r="C633" s="40" t="n">
        <x:v>50</x:v>
      </x:c>
      <x:c r="D633" s="41" t="n">
        <x:v>0.8715</x:v>
      </x:c>
      <x:c r="E633" s="41" t="n">
        <x:v>0.2121</x:v>
      </x:c>
      <x:c r="F633" s="48" t="str">
        <x:v>experiments/results/hcl/50/07.22-10.54.56/gen_apigraph_cnt50_001_warm_lr0.003_sgd_step_0.95_e250_adam_wlr0.00015_we100_test_2013-01_2018-12_cnt50.csv</x:v>
      </x:c>
    </x:row>
    <x:row r="634" ht="20" customHeight="1">
      <x:c r="A634" s="27" t="str">
        <x:v>HCL</x:v>
      </x:c>
      <x:c r="B634" s="30" t="str">
        <x:v>2017-06</x:v>
      </x:c>
      <x:c r="C634" s="40" t="n">
        <x:v>50</x:v>
      </x:c>
      <x:c r="D634" s="41" t="n">
        <x:v>0.914</x:v>
      </x:c>
      <x:c r="E634" s="41" t="n">
        <x:v>0.1062</x:v>
      </x:c>
      <x:c r="F634" s="48" t="str">
        <x:v>experiments/results/hcl/50/07.22-10.54.56/gen_apigraph_cnt50_001_warm_lr0.003_sgd_step_0.95_e250_adam_wlr0.00015_we100_test_2013-01_2018-12_cnt50.csv</x:v>
      </x:c>
    </x:row>
    <x:row r="635" ht="20" customHeight="1">
      <x:c r="A635" s="27" t="str">
        <x:v>HCL</x:v>
      </x:c>
      <x:c r="B635" s="30" t="str">
        <x:v>2017-07</x:v>
      </x:c>
      <x:c r="C635" s="40" t="n">
        <x:v>50</x:v>
      </x:c>
      <x:c r="D635" s="41" t="n">
        <x:v>0.8382</x:v>
      </x:c>
      <x:c r="E635" s="41" t="n">
        <x:v>0.1551</x:v>
      </x:c>
      <x:c r="F635" s="48" t="str">
        <x:v>experiments/results/hcl/50/07.22-10.54.56/gen_apigraph_cnt50_001_warm_lr0.003_sgd_step_0.95_e250_adam_wlr0.00015_we100_test_2013-01_2018-12_cnt50.csv</x:v>
      </x:c>
    </x:row>
    <x:row r="636" ht="20" customHeight="1">
      <x:c r="A636" s="27" t="str">
        <x:v>HCL</x:v>
      </x:c>
      <x:c r="B636" s="30" t="str">
        <x:v>2017-08</x:v>
      </x:c>
      <x:c r="C636" s="40" t="n">
        <x:v>50</x:v>
      </x:c>
      <x:c r="D636" s="41" t="n">
        <x:v>0.9444</x:v>
      </x:c>
      <x:c r="E636" s="41" t="n">
        <x:v>0.0541</x:v>
      </x:c>
      <x:c r="F636" s="48" t="str">
        <x:v>experiments/results/hcl/50/07.22-10.54.56/gen_apigraph_cnt50_001_warm_lr0.003_sgd_step_0.95_e250_adam_wlr0.00015_we100_test_2013-01_2018-12_cnt50.csv</x:v>
      </x:c>
    </x:row>
    <x:row r="637" ht="20" customHeight="1">
      <x:c r="A637" s="27" t="str">
        <x:v>HCL</x:v>
      </x:c>
      <x:c r="B637" s="30" t="str">
        <x:v>2017-09</x:v>
      </x:c>
      <x:c r="C637" s="40" t="n">
        <x:v>50</x:v>
      </x:c>
      <x:c r="D637" s="41" t="n">
        <x:v>0.9236</x:v>
      </x:c>
      <x:c r="E637" s="41" t="n">
        <x:v>0.0764</x:v>
      </x:c>
      <x:c r="F637" s="48" t="str">
        <x:v>experiments/results/hcl/50/07.22-10.54.56/gen_apigraph_cnt50_001_warm_lr0.003_sgd_step_0.95_e250_adam_wlr0.00015_we100_test_2013-01_2018-12_cnt50.csv</x:v>
      </x:c>
    </x:row>
    <x:row r="638" ht="20" customHeight="1">
      <x:c r="A638" s="27" t="str">
        <x:v>HCL</x:v>
      </x:c>
      <x:c r="B638" s="30" t="str">
        <x:v>2017-10</x:v>
      </x:c>
      <x:c r="C638" s="40" t="n">
        <x:v>50</x:v>
      </x:c>
      <x:c r="D638" s="41" t="n">
        <x:v>0.8979</x:v>
      </x:c>
      <x:c r="E638" s="41" t="n">
        <x:v>0.1448</x:v>
      </x:c>
      <x:c r="F638" s="48" t="str">
        <x:v>experiments/results/hcl/50/07.22-10.54.56/gen_apigraph_cnt50_001_warm_lr0.003_sgd_step_0.95_e250_adam_wlr0.00015_we100_test_2013-01_2018-12_cnt50.csv</x:v>
      </x:c>
    </x:row>
    <x:row r="639" ht="20" customHeight="1">
      <x:c r="A639" s="27" t="str">
        <x:v>HCL</x:v>
      </x:c>
      <x:c r="B639" s="30" t="str">
        <x:v>2017-11</x:v>
      </x:c>
      <x:c r="C639" s="40" t="n">
        <x:v>50</x:v>
      </x:c>
      <x:c r="D639" s="41" t="n">
        <x:v>0.8715</x:v>
      </x:c>
      <x:c r="E639" s="41" t="n">
        <x:v>0.1522</x:v>
      </x:c>
      <x:c r="F639" s="48" t="str">
        <x:v>experiments/results/hcl/50/07.22-10.54.56/gen_apigraph_cnt50_001_warm_lr0.003_sgd_step_0.95_e250_adam_wlr0.00015_we100_test_2013-01_2018-12_cnt50.csv</x:v>
      </x:c>
    </x:row>
    <x:row r="640" ht="20" customHeight="1">
      <x:c r="A640" s="27" t="str">
        <x:v>HCL</x:v>
      </x:c>
      <x:c r="B640" s="30" t="str">
        <x:v>2017-12</x:v>
      </x:c>
      <x:c r="C640" s="40" t="n">
        <x:v>50</x:v>
      </x:c>
      <x:c r="D640" s="41" t="n">
        <x:v>0.9049</x:v>
      </x:c>
      <x:c r="E640" s="41" t="n">
        <x:v>0.048</x:v>
      </x:c>
      <x:c r="F640" s="48" t="str">
        <x:v>experiments/results/hcl/50/07.22-10.54.56/gen_apigraph_cnt50_001_warm_lr0.003_sgd_step_0.95_e250_adam_wlr0.00015_we100_test_2013-01_2018-12_cnt50.csv</x:v>
      </x:c>
    </x:row>
    <x:row r="641" ht="20" customHeight="1">
      <x:c r="A641" s="27" t="str">
        <x:v>HCL</x:v>
      </x:c>
      <x:c r="B641" s="30" t="str">
        <x:v>2018-01</x:v>
      </x:c>
      <x:c r="C641" s="40" t="n">
        <x:v>50</x:v>
      </x:c>
      <x:c r="D641" s="41" t="n">
        <x:v>0.9133</x:v>
      </x:c>
      <x:c r="E641" s="41" t="n">
        <x:v>0.1046</x:v>
      </x:c>
      <x:c r="F641" s="48" t="str">
        <x:v>experiments/results/hcl/50/07.22-10.54.56/gen_apigraph_cnt50_001_warm_lr0.003_sgd_step_0.95_e250_adam_wlr0.00015_we100_test_2013-01_2018-12_cnt50.csv</x:v>
      </x:c>
    </x:row>
    <x:row r="642" ht="20" customHeight="1">
      <x:c r="A642" s="27" t="str">
        <x:v>HCL</x:v>
      </x:c>
      <x:c r="B642" s="30" t="str">
        <x:v>2018-02</x:v>
      </x:c>
      <x:c r="C642" s="40" t="n">
        <x:v>50</x:v>
      </x:c>
      <x:c r="D642" s="41" t="n">
        <x:v>0.9247</x:v>
      </x:c>
      <x:c r="E642" s="41" t="n">
        <x:v>0.1103</x:v>
      </x:c>
      <x:c r="F642" s="48" t="str">
        <x:v>experiments/results/hcl/50/07.22-10.54.56/gen_apigraph_cnt50_001_warm_lr0.003_sgd_step_0.95_e250_adam_wlr0.00015_we100_test_2013-01_2018-12_cnt50.csv</x:v>
      </x:c>
    </x:row>
    <x:row r="643" ht="20" customHeight="1">
      <x:c r="A643" s="27" t="str">
        <x:v>HCL</x:v>
      </x:c>
      <x:c r="B643" s="30" t="str">
        <x:v>2018-03</x:v>
      </x:c>
      <x:c r="C643" s="40" t="n">
        <x:v>50</x:v>
      </x:c>
      <x:c r="D643" s="41" t="n">
        <x:v>0.8936</x:v>
      </x:c>
      <x:c r="E643" s="41" t="n">
        <x:v>0.0803</x:v>
      </x:c>
      <x:c r="F643" s="48" t="str">
        <x:v>experiments/results/hcl/50/07.22-10.54.56/gen_apigraph_cnt50_001_warm_lr0.003_sgd_step_0.95_e250_adam_wlr0.00015_we100_test_2013-01_2018-12_cnt50.csv</x:v>
      </x:c>
    </x:row>
    <x:row r="644" ht="20" customHeight="1">
      <x:c r="A644" s="27" t="str">
        <x:v>HCL</x:v>
      </x:c>
      <x:c r="B644" s="30" t="str">
        <x:v>2018-04</x:v>
      </x:c>
      <x:c r="C644" s="40" t="n">
        <x:v>50</x:v>
      </x:c>
      <x:c r="D644" s="41" t="n">
        <x:v>0.93</x:v>
      </x:c>
      <x:c r="E644" s="41" t="n">
        <x:v>0.0783</x:v>
      </x:c>
      <x:c r="F644" s="48" t="str">
        <x:v>experiments/results/hcl/50/07.22-10.54.56/gen_apigraph_cnt50_001_warm_lr0.003_sgd_step_0.95_e250_adam_wlr0.00015_we100_test_2013-01_2018-12_cnt50.csv</x:v>
      </x:c>
    </x:row>
    <x:row r="645" ht="20" customHeight="1">
      <x:c r="A645" s="27" t="str">
        <x:v>HCL</x:v>
      </x:c>
      <x:c r="B645" s="30" t="str">
        <x:v>2018-05</x:v>
      </x:c>
      <x:c r="C645" s="40" t="n">
        <x:v>50</x:v>
      </x:c>
      <x:c r="D645" s="41" t="n">
        <x:v>0.7175</x:v>
      </x:c>
      <x:c r="E645" s="41" t="n">
        <x:v>0.0868</x:v>
      </x:c>
      <x:c r="F645" s="48" t="str">
        <x:v>experiments/results/hcl/50/07.22-10.54.56/gen_apigraph_cnt50_001_warm_lr0.003_sgd_step_0.95_e250_adam_wlr0.00015_we100_test_2013-01_2018-12_cnt50.csv</x:v>
      </x:c>
    </x:row>
    <x:row r="646" ht="20" customHeight="1">
      <x:c r="A646" s="27" t="str">
        <x:v>HCL</x:v>
      </x:c>
      <x:c r="B646" s="30" t="str">
        <x:v>2018-06</x:v>
      </x:c>
      <x:c r="C646" s="40" t="n">
        <x:v>50</x:v>
      </x:c>
      <x:c r="D646" s="41" t="n">
        <x:v>0.8858</x:v>
      </x:c>
      <x:c r="E646" s="41" t="n">
        <x:v>0.1883</x:v>
      </x:c>
      <x:c r="F646" s="48" t="str">
        <x:v>experiments/results/hcl/50/07.22-10.54.56/gen_apigraph_cnt50_001_warm_lr0.003_sgd_step_0.95_e250_adam_wlr0.00015_we100_test_2013-01_2018-12_cnt50.csv</x:v>
      </x:c>
    </x:row>
    <x:row r="647" ht="20" customHeight="1">
      <x:c r="A647" s="27" t="str">
        <x:v>HCL</x:v>
      </x:c>
      <x:c r="B647" s="30" t="str">
        <x:v>2018-07</x:v>
      </x:c>
      <x:c r="C647" s="40" t="n">
        <x:v>50</x:v>
      </x:c>
      <x:c r="D647" s="41" t="n">
        <x:v>0.8215</x:v>
      </x:c>
      <x:c r="E647" s="41" t="n">
        <x:v>0.2787</x:v>
      </x:c>
      <x:c r="F647" s="48" t="str">
        <x:v>experiments/results/hcl/50/07.22-10.54.56/gen_apigraph_cnt50_001_warm_lr0.003_sgd_step_0.95_e250_adam_wlr0.00015_we100_test_2013-01_2018-12_cnt50.csv</x:v>
      </x:c>
    </x:row>
    <x:row r="648" ht="20" customHeight="1">
      <x:c r="A648" s="27" t="str">
        <x:v>HCL</x:v>
      </x:c>
      <x:c r="B648" s="30" t="str">
        <x:v>2018-08</x:v>
      </x:c>
      <x:c r="C648" s="40" t="n">
        <x:v>50</x:v>
      </x:c>
      <x:c r="D648" s="41" t="n">
        <x:v>0.913</x:v>
      </x:c>
      <x:c r="E648" s="41" t="n">
        <x:v>0.1168</x:v>
      </x:c>
      <x:c r="F648" s="48" t="str">
        <x:v>experiments/results/hcl/50/07.22-10.54.56/gen_apigraph_cnt50_001_warm_lr0.003_sgd_step_0.95_e250_adam_wlr0.00015_we100_test_2013-01_2018-12_cnt50.csv</x:v>
      </x:c>
    </x:row>
    <x:row r="649" ht="20" customHeight="1">
      <x:c r="A649" s="27" t="str">
        <x:v>HCL</x:v>
      </x:c>
      <x:c r="B649" s="30" t="str">
        <x:v>2018-09</x:v>
      </x:c>
      <x:c r="C649" s="40" t="n">
        <x:v>50</x:v>
      </x:c>
      <x:c r="D649" s="41" t="n">
        <x:v>0.8505</x:v>
      </x:c>
      <x:c r="E649" s="41" t="n">
        <x:v>0.2052</x:v>
      </x:c>
      <x:c r="F649" s="48" t="str">
        <x:v>experiments/results/hcl/50/07.22-10.54.56/gen_apigraph_cnt50_001_warm_lr0.003_sgd_step_0.95_e250_adam_wlr0.00015_we100_test_2013-01_2018-12_cnt50.csv</x:v>
      </x:c>
    </x:row>
    <x:row r="650" ht="20" customHeight="1">
      <x:c r="A650" s="27" t="str">
        <x:v>HCL</x:v>
      </x:c>
      <x:c r="B650" s="30" t="str">
        <x:v>2018-10</x:v>
      </x:c>
      <x:c r="C650" s="40" t="n">
        <x:v>50</x:v>
      </x:c>
      <x:c r="D650" s="41" t="n">
        <x:v>0.8028</x:v>
      </x:c>
      <x:c r="E650" s="41" t="n">
        <x:v>0.3063</x:v>
      </x:c>
      <x:c r="F650" s="48" t="str">
        <x:v>experiments/results/hcl/50/07.22-10.54.56/gen_apigraph_cnt50_001_warm_lr0.003_sgd_step_0.95_e250_adam_wlr0.00015_we100_test_2013-01_2018-12_cnt50.csv</x:v>
      </x:c>
    </x:row>
    <x:row r="651" ht="20" customHeight="1">
      <x:c r="A651" s="27" t="str">
        <x:v>HCL</x:v>
      </x:c>
      <x:c r="B651" s="30" t="str">
        <x:v>2018-11</x:v>
      </x:c>
      <x:c r="C651" s="40" t="n">
        <x:v>50</x:v>
      </x:c>
      <x:c r="D651" s="41" t="n">
        <x:v>0.92</x:v>
      </x:c>
      <x:c r="E651" s="41" t="n">
        <x:v>0.1185</x:v>
      </x:c>
      <x:c r="F651" s="48" t="str">
        <x:v>experiments/results/hcl/50/07.22-10.54.56/gen_apigraph_cnt50_001_warm_lr0.003_sgd_step_0.95_e250_adam_wlr0.00015_we100_test_2013-01_2018-12_cnt50.csv</x:v>
      </x:c>
    </x:row>
    <x:row r="652" ht="20" customHeight="1">
      <x:c r="A652" s="27" t="str">
        <x:v>HCL</x:v>
      </x:c>
      <x:c r="B652" s="30" t="str">
        <x:v>2018-12</x:v>
      </x:c>
      <x:c r="C652" s="40" t="n">
        <x:v>50</x:v>
      </x:c>
      <x:c r="D652" s="41" t="n">
        <x:v>0.773</x:v>
      </x:c>
      <x:c r="E652" s="41" t="n">
        <x:v>0.3472</x:v>
      </x:c>
      <x:c r="F652" s="48" t="str">
        <x:v>experiments/results/hcl/50/07.22-10.54.56/gen_apigraph_cnt50_001_warm_lr0.003_sgd_step_0.95_e250_adam_wlr0.00015_we100_test_2013-01_2018-12_cnt50.csv</x:v>
      </x:c>
    </x:row>
    <x:row r="653" ht="20" customHeight="1">
      <x:c r="A653" s="27" t="str">
        <x:v>HCL</x:v>
      </x:c>
      <x:c r="B653" s="30" t="str">
        <x:v>2013-01</x:v>
      </x:c>
      <x:c r="C653" s="40" t="n">
        <x:v>100</x:v>
      </x:c>
      <x:c r="D653" s="41" t="n">
        <x:v>0.9558</x:v>
      </x:c>
      <x:c r="E653" s="41" t="n">
        <x:v>0.026</x:v>
      </x:c>
      <x:c r="F653" s="48" t="str">
        <x:v>experiments/results/hcl/100/07.22-11.28.58/gen_apigraph_cnt100_001_warm_lr0.003_sgd_step_0.95_e250_adam_wlr0.00015_we100_test_2013-01_2018-12_cnt100.csv</x:v>
      </x:c>
    </x:row>
    <x:row r="654" ht="20" customHeight="1">
      <x:c r="A654" s="27" t="str">
        <x:v>HCL</x:v>
      </x:c>
      <x:c r="B654" s="30" t="str">
        <x:v>2013-02</x:v>
      </x:c>
      <x:c r="C654" s="40" t="n">
        <x:v>100</x:v>
      </x:c>
      <x:c r="D654" s="41" t="n">
        <x:v>0.906</x:v>
      </x:c>
      <x:c r="E654" s="41" t="n">
        <x:v>0.1562</x:v>
      </x:c>
      <x:c r="F654" s="48" t="str">
        <x:v>experiments/results/hcl/100/07.22-11.28.58/gen_apigraph_cnt100_001_warm_lr0.003_sgd_step_0.95_e250_adam_wlr0.00015_we100_test_2013-01_2018-12_cnt100.csv</x:v>
      </x:c>
    </x:row>
    <x:row r="655" ht="20" customHeight="1">
      <x:c r="A655" s="27" t="str">
        <x:v>HCL</x:v>
      </x:c>
      <x:c r="B655" s="30" t="str">
        <x:v>2013-03</x:v>
      </x:c>
      <x:c r="C655" s="40" t="n">
        <x:v>100</x:v>
      </x:c>
      <x:c r="D655" s="41" t="n">
        <x:v>0.9055</x:v>
      </x:c>
      <x:c r="E655" s="41" t="n">
        <x:v>0.1187</x:v>
      </x:c>
      <x:c r="F655" s="48" t="str">
        <x:v>experiments/results/hcl/100/07.22-11.28.58/gen_apigraph_cnt100_001_warm_lr0.003_sgd_step_0.95_e250_adam_wlr0.00015_we100_test_2013-01_2018-12_cnt100.csv</x:v>
      </x:c>
    </x:row>
    <x:row r="656" ht="20" customHeight="1">
      <x:c r="A656" s="27" t="str">
        <x:v>HCL</x:v>
      </x:c>
      <x:c r="B656" s="30" t="str">
        <x:v>2013-04</x:v>
      </x:c>
      <x:c r="C656" s="40" t="n">
        <x:v>100</x:v>
      </x:c>
      <x:c r="D656" s="41" t="n">
        <x:v>0.9136</x:v>
      </x:c>
      <x:c r="E656" s="41" t="n">
        <x:v>0.144</x:v>
      </x:c>
      <x:c r="F656" s="48" t="str">
        <x:v>experiments/results/hcl/100/07.22-11.28.58/gen_apigraph_cnt100_001_warm_lr0.003_sgd_step_0.95_e250_adam_wlr0.00015_we100_test_2013-01_2018-12_cnt100.csv</x:v>
      </x:c>
    </x:row>
    <x:row r="657" ht="20" customHeight="1">
      <x:c r="A657" s="27" t="str">
        <x:v>HCL</x:v>
      </x:c>
      <x:c r="B657" s="30" t="str">
        <x:v>2013-05</x:v>
      </x:c>
      <x:c r="C657" s="40" t="n">
        <x:v>100</x:v>
      </x:c>
      <x:c r="D657" s="41" t="n">
        <x:v>0.9038</x:v>
      </x:c>
      <x:c r="E657" s="41" t="n">
        <x:v>0.1618</x:v>
      </x:c>
      <x:c r="F657" s="48" t="str">
        <x:v>experiments/results/hcl/100/07.22-11.28.58/gen_apigraph_cnt100_001_warm_lr0.003_sgd_step_0.95_e250_adam_wlr0.00015_we100_test_2013-01_2018-12_cnt100.csv</x:v>
      </x:c>
    </x:row>
    <x:row r="658" ht="20" customHeight="1">
      <x:c r="A658" s="27" t="str">
        <x:v>HCL</x:v>
      </x:c>
      <x:c r="B658" s="30" t="str">
        <x:v>2013-06</x:v>
      </x:c>
      <x:c r="C658" s="40" t="n">
        <x:v>100</x:v>
      </x:c>
      <x:c r="D658" s="41" t="n">
        <x:v>0.9323</x:v>
      </x:c>
      <x:c r="E658" s="41" t="n">
        <x:v>0.1036</x:v>
      </x:c>
      <x:c r="F658" s="48" t="str">
        <x:v>experiments/results/hcl/100/07.22-11.28.58/gen_apigraph_cnt100_001_warm_lr0.003_sgd_step_0.95_e250_adam_wlr0.00015_we100_test_2013-01_2018-12_cnt100.csv</x:v>
      </x:c>
    </x:row>
    <x:row r="659" ht="20" customHeight="1">
      <x:c r="A659" s="27" t="str">
        <x:v>HCL</x:v>
      </x:c>
      <x:c r="B659" s="30" t="str">
        <x:v>2013-07</x:v>
      </x:c>
      <x:c r="C659" s="40" t="n">
        <x:v>100</x:v>
      </x:c>
      <x:c r="D659" s="41" t="n">
        <x:v>0.9339</x:v>
      </x:c>
      <x:c r="E659" s="41" t="n">
        <x:v>0.1067</x:v>
      </x:c>
      <x:c r="F659" s="48" t="str">
        <x:v>experiments/results/hcl/100/07.22-11.28.58/gen_apigraph_cnt100_001_warm_lr0.003_sgd_step_0.95_e250_adam_wlr0.00015_we100_test_2013-01_2018-12_cnt100.csv</x:v>
      </x:c>
    </x:row>
    <x:row r="660" ht="20" customHeight="1">
      <x:c r="A660" s="27" t="str">
        <x:v>HCL</x:v>
      </x:c>
      <x:c r="B660" s="30" t="str">
        <x:v>2013-08</x:v>
      </x:c>
      <x:c r="C660" s="40" t="n">
        <x:v>100</x:v>
      </x:c>
      <x:c r="D660" s="41" t="n">
        <x:v>0.9254</x:v>
      </x:c>
      <x:c r="E660" s="41" t="n">
        <x:v>0.1281</x:v>
      </x:c>
      <x:c r="F660" s="48" t="str">
        <x:v>experiments/results/hcl/100/07.22-11.28.58/gen_apigraph_cnt100_001_warm_lr0.003_sgd_step_0.95_e250_adam_wlr0.00015_we100_test_2013-01_2018-12_cnt100.csv</x:v>
      </x:c>
    </x:row>
    <x:row r="661" ht="20" customHeight="1">
      <x:c r="A661" s="27" t="str">
        <x:v>HCL</x:v>
      </x:c>
      <x:c r="B661" s="30" t="str">
        <x:v>2013-09</x:v>
      </x:c>
      <x:c r="C661" s="40" t="n">
        <x:v>100</x:v>
      </x:c>
      <x:c r="D661" s="41" t="n">
        <x:v>0.8903</x:v>
      </x:c>
      <x:c r="E661" s="41" t="n">
        <x:v>0.14</x:v>
      </x:c>
      <x:c r="F661" s="48" t="str">
        <x:v>experiments/results/hcl/100/07.22-11.28.58/gen_apigraph_cnt100_001_warm_lr0.003_sgd_step_0.95_e250_adam_wlr0.00015_we100_test_2013-01_2018-12_cnt100.csv</x:v>
      </x:c>
    </x:row>
    <x:row r="662" ht="20" customHeight="1">
      <x:c r="A662" s="27" t="str">
        <x:v>HCL</x:v>
      </x:c>
      <x:c r="B662" s="30" t="str">
        <x:v>2013-10</x:v>
      </x:c>
      <x:c r="C662" s="40" t="n">
        <x:v>100</x:v>
      </x:c>
      <x:c r="D662" s="41" t="n">
        <x:v>0.885</x:v>
      </x:c>
      <x:c r="E662" s="41" t="n">
        <x:v>0.1443</x:v>
      </x:c>
      <x:c r="F662" s="48" t="str">
        <x:v>experiments/results/hcl/100/07.22-11.28.58/gen_apigraph_cnt100_001_warm_lr0.003_sgd_step_0.95_e250_adam_wlr0.00015_we100_test_2013-01_2018-12_cnt100.csv</x:v>
      </x:c>
    </x:row>
    <x:row r="663" ht="20" customHeight="1">
      <x:c r="A663" s="27" t="str">
        <x:v>HCL</x:v>
      </x:c>
      <x:c r="B663" s="30" t="str">
        <x:v>2013-11</x:v>
      </x:c>
      <x:c r="C663" s="40" t="n">
        <x:v>100</x:v>
      </x:c>
      <x:c r="D663" s="41" t="n">
        <x:v>0.9027</x:v>
      </x:c>
      <x:c r="E663" s="41" t="n">
        <x:v>0.1475</x:v>
      </x:c>
      <x:c r="F663" s="48" t="str">
        <x:v>experiments/results/hcl/100/07.22-11.28.58/gen_apigraph_cnt100_001_warm_lr0.003_sgd_step_0.95_e250_adam_wlr0.00015_we100_test_2013-01_2018-12_cnt100.csv</x:v>
      </x:c>
    </x:row>
    <x:row r="664" ht="20" customHeight="1">
      <x:c r="A664" s="27" t="str">
        <x:v>HCL</x:v>
      </x:c>
      <x:c r="B664" s="30" t="str">
        <x:v>2013-12</x:v>
      </x:c>
      <x:c r="C664" s="40" t="n">
        <x:v>100</x:v>
      </x:c>
      <x:c r="D664" s="41" t="n">
        <x:v>0.84</x:v>
      </x:c>
      <x:c r="E664" s="41" t="n">
        <x:v>0.2585</x:v>
      </x:c>
      <x:c r="F664" s="48" t="str">
        <x:v>experiments/results/hcl/100/07.22-11.28.58/gen_apigraph_cnt100_001_warm_lr0.003_sgd_step_0.95_e250_adam_wlr0.00015_we100_test_2013-01_2018-12_cnt100.csv</x:v>
      </x:c>
    </x:row>
    <x:row r="665" ht="20" customHeight="1">
      <x:c r="A665" s="27" t="str">
        <x:v>HCL</x:v>
      </x:c>
      <x:c r="B665" s="30" t="str">
        <x:v>2014-01</x:v>
      </x:c>
      <x:c r="C665" s="40" t="n">
        <x:v>100</x:v>
      </x:c>
      <x:c r="D665" s="41" t="n">
        <x:v>0.8543</x:v>
      </x:c>
      <x:c r="E665" s="41" t="n">
        <x:v>0.2028</x:v>
      </x:c>
      <x:c r="F665" s="48" t="str">
        <x:v>experiments/results/hcl/100/07.22-11.28.58/gen_apigraph_cnt100_001_warm_lr0.003_sgd_step_0.95_e250_adam_wlr0.00015_we100_test_2013-01_2018-12_cnt100.csv</x:v>
      </x:c>
    </x:row>
    <x:row r="666" ht="20" customHeight="1">
      <x:c r="A666" s="27" t="str">
        <x:v>HCL</x:v>
      </x:c>
      <x:c r="B666" s="30" t="str">
        <x:v>2014-02</x:v>
      </x:c>
      <x:c r="C666" s="40" t="n">
        <x:v>100</x:v>
      </x:c>
      <x:c r="D666" s="41" t="n">
        <x:v>0.9354</x:v>
      </x:c>
      <x:c r="E666" s="41" t="n">
        <x:v>0.0788</x:v>
      </x:c>
      <x:c r="F666" s="48" t="str">
        <x:v>experiments/results/hcl/100/07.22-11.28.58/gen_apigraph_cnt100_001_warm_lr0.003_sgd_step_0.95_e250_adam_wlr0.00015_we100_test_2013-01_2018-12_cnt100.csv</x:v>
      </x:c>
    </x:row>
    <x:row r="667" ht="20" customHeight="1">
      <x:c r="A667" s="27" t="str">
        <x:v>HCL</x:v>
      </x:c>
      <x:c r="B667" s="30" t="str">
        <x:v>2014-03</x:v>
      </x:c>
      <x:c r="C667" s="40" t="n">
        <x:v>100</x:v>
      </x:c>
      <x:c r="D667" s="41" t="n">
        <x:v>0.8943</x:v>
      </x:c>
      <x:c r="E667" s="41" t="n">
        <x:v>0.1437</x:v>
      </x:c>
      <x:c r="F667" s="48" t="str">
        <x:v>experiments/results/hcl/100/07.22-11.28.58/gen_apigraph_cnt100_001_warm_lr0.003_sgd_step_0.95_e250_adam_wlr0.00015_we100_test_2013-01_2018-12_cnt100.csv</x:v>
      </x:c>
    </x:row>
    <x:row r="668" ht="20" customHeight="1">
      <x:c r="A668" s="27" t="str">
        <x:v>HCL</x:v>
      </x:c>
      <x:c r="B668" s="30" t="str">
        <x:v>2014-04</x:v>
      </x:c>
      <x:c r="C668" s="40" t="n">
        <x:v>100</x:v>
      </x:c>
      <x:c r="D668" s="41" t="n">
        <x:v>0.8708</x:v>
      </x:c>
      <x:c r="E668" s="41" t="n">
        <x:v>0.1727</x:v>
      </x:c>
      <x:c r="F668" s="48" t="str">
        <x:v>experiments/results/hcl/100/07.22-11.28.58/gen_apigraph_cnt100_001_warm_lr0.003_sgd_step_0.95_e250_adam_wlr0.00015_we100_test_2013-01_2018-12_cnt100.csv</x:v>
      </x:c>
    </x:row>
    <x:row r="669" ht="20" customHeight="1">
      <x:c r="A669" s="27" t="str">
        <x:v>HCL</x:v>
      </x:c>
      <x:c r="B669" s="30" t="str">
        <x:v>2014-05</x:v>
      </x:c>
      <x:c r="C669" s="40" t="n">
        <x:v>100</x:v>
      </x:c>
      <x:c r="D669" s="41" t="n">
        <x:v>0.8619</x:v>
      </x:c>
      <x:c r="E669" s="41" t="n">
        <x:v>0.2153</x:v>
      </x:c>
      <x:c r="F669" s="48" t="str">
        <x:v>experiments/results/hcl/100/07.22-11.28.58/gen_apigraph_cnt100_001_warm_lr0.003_sgd_step_0.95_e250_adam_wlr0.00015_we100_test_2013-01_2018-12_cnt100.csv</x:v>
      </x:c>
    </x:row>
    <x:row r="670" ht="20" customHeight="1">
      <x:c r="A670" s="27" t="str">
        <x:v>HCL</x:v>
      </x:c>
      <x:c r="B670" s="30" t="str">
        <x:v>2014-06</x:v>
      </x:c>
      <x:c r="C670" s="40" t="n">
        <x:v>100</x:v>
      </x:c>
      <x:c r="D670" s="41" t="n">
        <x:v>0.7986</x:v>
      </x:c>
      <x:c r="E670" s="41" t="n">
        <x:v>0.3072</x:v>
      </x:c>
      <x:c r="F670" s="48" t="str">
        <x:v>experiments/results/hcl/100/07.22-11.28.58/gen_apigraph_cnt100_001_warm_lr0.003_sgd_step_0.95_e250_adam_wlr0.00015_we100_test_2013-01_2018-12_cnt100.csv</x:v>
      </x:c>
    </x:row>
    <x:row r="671" ht="20" customHeight="1">
      <x:c r="A671" s="27" t="str">
        <x:v>HCL</x:v>
      </x:c>
      <x:c r="B671" s="30" t="str">
        <x:v>2014-07</x:v>
      </x:c>
      <x:c r="C671" s="40" t="n">
        <x:v>100</x:v>
      </x:c>
      <x:c r="D671" s="41" t="n">
        <x:v>0.8037</x:v>
      </x:c>
      <x:c r="E671" s="41" t="n">
        <x:v>0.2946</x:v>
      </x:c>
      <x:c r="F671" s="48" t="str">
        <x:v>experiments/results/hcl/100/07.22-11.28.58/gen_apigraph_cnt100_001_warm_lr0.003_sgd_step_0.95_e250_adam_wlr0.00015_we100_test_2013-01_2018-12_cnt100.csv</x:v>
      </x:c>
    </x:row>
    <x:row r="672" ht="20" customHeight="1">
      <x:c r="A672" s="27" t="str">
        <x:v>HCL</x:v>
      </x:c>
      <x:c r="B672" s="30" t="str">
        <x:v>2014-08</x:v>
      </x:c>
      <x:c r="C672" s="40" t="n">
        <x:v>100</x:v>
      </x:c>
      <x:c r="D672" s="41" t="n">
        <x:v>0.8345</x:v>
      </x:c>
      <x:c r="E672" s="41" t="n">
        <x:v>0.2581</x:v>
      </x:c>
      <x:c r="F672" s="48" t="str">
        <x:v>experiments/results/hcl/100/07.22-11.28.58/gen_apigraph_cnt100_001_warm_lr0.003_sgd_step_0.95_e250_adam_wlr0.00015_we100_test_2013-01_2018-12_cnt100.csv</x:v>
      </x:c>
    </x:row>
    <x:row r="673" ht="20" customHeight="1">
      <x:c r="A673" s="27" t="str">
        <x:v>HCL</x:v>
      </x:c>
      <x:c r="B673" s="30" t="str">
        <x:v>2014-09</x:v>
      </x:c>
      <x:c r="C673" s="40" t="n">
        <x:v>100</x:v>
      </x:c>
      <x:c r="D673" s="41" t="n">
        <x:v>0.8347</x:v>
      </x:c>
      <x:c r="E673" s="41" t="n">
        <x:v>0.2701</x:v>
      </x:c>
      <x:c r="F673" s="48" t="str">
        <x:v>experiments/results/hcl/100/07.22-11.28.58/gen_apigraph_cnt100_001_warm_lr0.003_sgd_step_0.95_e250_adam_wlr0.00015_we100_test_2013-01_2018-12_cnt100.csv</x:v>
      </x:c>
    </x:row>
    <x:row r="674" ht="20" customHeight="1">
      <x:c r="A674" s="27" t="str">
        <x:v>HCL</x:v>
      </x:c>
      <x:c r="B674" s="30" t="str">
        <x:v>2014-10</x:v>
      </x:c>
      <x:c r="C674" s="40" t="n">
        <x:v>100</x:v>
      </x:c>
      <x:c r="D674" s="41" t="n">
        <x:v>0.791</x:v>
      </x:c>
      <x:c r="E674" s="41" t="n">
        <x:v>0.319</x:v>
      </x:c>
      <x:c r="F674" s="48" t="str">
        <x:v>experiments/results/hcl/100/07.22-11.28.58/gen_apigraph_cnt100_001_warm_lr0.003_sgd_step_0.95_e250_adam_wlr0.00015_we100_test_2013-01_2018-12_cnt100.csv</x:v>
      </x:c>
    </x:row>
    <x:row r="675" ht="20" customHeight="1">
      <x:c r="A675" s="27" t="str">
        <x:v>HCL</x:v>
      </x:c>
      <x:c r="B675" s="30" t="str">
        <x:v>2014-11</x:v>
      </x:c>
      <x:c r="C675" s="40" t="n">
        <x:v>100</x:v>
      </x:c>
      <x:c r="D675" s="41" t="n">
        <x:v>0.9099</x:v>
      </x:c>
      <x:c r="E675" s="41" t="n">
        <x:v>0.1298</x:v>
      </x:c>
      <x:c r="F675" s="48" t="str">
        <x:v>experiments/results/hcl/100/07.22-11.28.58/gen_apigraph_cnt100_001_warm_lr0.003_sgd_step_0.95_e250_adam_wlr0.00015_we100_test_2013-01_2018-12_cnt100.csv</x:v>
      </x:c>
    </x:row>
    <x:row r="676" ht="20" customHeight="1">
      <x:c r="A676" s="27" t="str">
        <x:v>HCL</x:v>
      </x:c>
      <x:c r="B676" s="30" t="str">
        <x:v>2014-12</x:v>
      </x:c>
      <x:c r="C676" s="40" t="n">
        <x:v>100</x:v>
      </x:c>
      <x:c r="D676" s="41" t="n">
        <x:v>0.8696</x:v>
      </x:c>
      <x:c r="E676" s="41" t="n">
        <x:v>0.2089</x:v>
      </x:c>
      <x:c r="F676" s="48" t="str">
        <x:v>experiments/results/hcl/100/07.22-11.28.58/gen_apigraph_cnt100_001_warm_lr0.003_sgd_step_0.95_e250_adam_wlr0.00015_we100_test_2013-01_2018-12_cnt100.csv</x:v>
      </x:c>
    </x:row>
    <x:row r="677" ht="20" customHeight="1">
      <x:c r="A677" s="27" t="str">
        <x:v>HCL</x:v>
      </x:c>
      <x:c r="B677" s="30" t="str">
        <x:v>2015-01</x:v>
      </x:c>
      <x:c r="C677" s="40" t="n">
        <x:v>100</x:v>
      </x:c>
      <x:c r="D677" s="41" t="n">
        <x:v>0.8817</x:v>
      </x:c>
      <x:c r="E677" s="41" t="n">
        <x:v>0.1967</x:v>
      </x:c>
      <x:c r="F677" s="48" t="str">
        <x:v>experiments/results/hcl/100/07.22-11.28.58/gen_apigraph_cnt100_001_warm_lr0.003_sgd_step_0.95_e250_adam_wlr0.00015_we100_test_2013-01_2018-12_cnt100.csv</x:v>
      </x:c>
    </x:row>
    <x:row r="678" ht="20" customHeight="1">
      <x:c r="A678" s="27" t="str">
        <x:v>HCL</x:v>
      </x:c>
      <x:c r="B678" s="30" t="str">
        <x:v>2015-02</x:v>
      </x:c>
      <x:c r="C678" s="40" t="n">
        <x:v>100</x:v>
      </x:c>
      <x:c r="D678" s="41" t="n">
        <x:v>0.9257</x:v>
      </x:c>
      <x:c r="E678" s="41" t="n">
        <x:v>0.1079</x:v>
      </x:c>
      <x:c r="F678" s="48" t="str">
        <x:v>experiments/results/hcl/100/07.22-11.28.58/gen_apigraph_cnt100_001_warm_lr0.003_sgd_step_0.95_e250_adam_wlr0.00015_we100_test_2013-01_2018-12_cnt100.csv</x:v>
      </x:c>
    </x:row>
    <x:row r="679" ht="20" customHeight="1">
      <x:c r="A679" s="27" t="str">
        <x:v>HCL</x:v>
      </x:c>
      <x:c r="B679" s="30" t="str">
        <x:v>2015-03</x:v>
      </x:c>
      <x:c r="C679" s="40" t="n">
        <x:v>100</x:v>
      </x:c>
      <x:c r="D679" s="41" t="n">
        <x:v>0.9136</x:v>
      </x:c>
      <x:c r="E679" s="41" t="n">
        <x:v>0.1465</x:v>
      </x:c>
      <x:c r="F679" s="48" t="str">
        <x:v>experiments/results/hcl/100/07.22-11.28.58/gen_apigraph_cnt100_001_warm_lr0.003_sgd_step_0.95_e250_adam_wlr0.00015_we100_test_2013-01_2018-12_cnt100.csv</x:v>
      </x:c>
    </x:row>
    <x:row r="680" ht="20" customHeight="1">
      <x:c r="A680" s="27" t="str">
        <x:v>HCL</x:v>
      </x:c>
      <x:c r="B680" s="30" t="str">
        <x:v>2015-04</x:v>
      </x:c>
      <x:c r="C680" s="40" t="n">
        <x:v>100</x:v>
      </x:c>
      <x:c r="D680" s="41" t="n">
        <x:v>0.9305</x:v>
      </x:c>
      <x:c r="E680" s="41" t="n">
        <x:v>0.1113</x:v>
      </x:c>
      <x:c r="F680" s="48" t="str">
        <x:v>experiments/results/hcl/100/07.22-11.28.58/gen_apigraph_cnt100_001_warm_lr0.003_sgd_step_0.95_e250_adam_wlr0.00015_we100_test_2013-01_2018-12_cnt100.csv</x:v>
      </x:c>
    </x:row>
    <x:row r="681" ht="20" customHeight="1">
      <x:c r="A681" s="27" t="str">
        <x:v>HCL</x:v>
      </x:c>
      <x:c r="B681" s="30" t="str">
        <x:v>2015-05</x:v>
      </x:c>
      <x:c r="C681" s="40" t="n">
        <x:v>100</x:v>
      </x:c>
      <x:c r="D681" s="41" t="n">
        <x:v>0.9176</x:v>
      </x:c>
      <x:c r="E681" s="41" t="n">
        <x:v>0.1351</x:v>
      </x:c>
      <x:c r="F681" s="48" t="str">
        <x:v>experiments/results/hcl/100/07.22-11.28.58/gen_apigraph_cnt100_001_warm_lr0.003_sgd_step_0.95_e250_adam_wlr0.00015_we100_test_2013-01_2018-12_cnt100.csv</x:v>
      </x:c>
    </x:row>
    <x:row r="682" ht="20" customHeight="1">
      <x:c r="A682" s="27" t="str">
        <x:v>HCL</x:v>
      </x:c>
      <x:c r="B682" s="30" t="str">
        <x:v>2015-06</x:v>
      </x:c>
      <x:c r="C682" s="40" t="n">
        <x:v>100</x:v>
      </x:c>
      <x:c r="D682" s="41" t="n">
        <x:v>0.8744</x:v>
      </x:c>
      <x:c r="E682" s="41" t="n">
        <x:v>0.2079</x:v>
      </x:c>
      <x:c r="F682" s="48" t="str">
        <x:v>experiments/results/hcl/100/07.22-11.28.58/gen_apigraph_cnt100_001_warm_lr0.003_sgd_step_0.95_e250_adam_wlr0.00015_we100_test_2013-01_2018-12_cnt100.csv</x:v>
      </x:c>
    </x:row>
    <x:row r="683" ht="20" customHeight="1">
      <x:c r="A683" s="27" t="str">
        <x:v>HCL</x:v>
      </x:c>
      <x:c r="B683" s="30" t="str">
        <x:v>2015-07</x:v>
      </x:c>
      <x:c r="C683" s="40" t="n">
        <x:v>100</x:v>
      </x:c>
      <x:c r="D683" s="41" t="n">
        <x:v>0.8899</x:v>
      </x:c>
      <x:c r="E683" s="41" t="n">
        <x:v>0.1782</x:v>
      </x:c>
      <x:c r="F683" s="48" t="str">
        <x:v>experiments/results/hcl/100/07.22-11.28.58/gen_apigraph_cnt100_001_warm_lr0.003_sgd_step_0.95_e250_adam_wlr0.00015_we100_test_2013-01_2018-12_cnt100.csv</x:v>
      </x:c>
    </x:row>
    <x:row r="684" ht="20" customHeight="1">
      <x:c r="A684" s="27" t="str">
        <x:v>HCL</x:v>
      </x:c>
      <x:c r="B684" s="30" t="str">
        <x:v>2015-08</x:v>
      </x:c>
      <x:c r="C684" s="40" t="n">
        <x:v>100</x:v>
      </x:c>
      <x:c r="D684" s="41" t="n">
        <x:v>0.9161</x:v>
      </x:c>
      <x:c r="E684" s="41" t="n">
        <x:v>0.1438</x:v>
      </x:c>
      <x:c r="F684" s="48" t="str">
        <x:v>experiments/results/hcl/100/07.22-11.28.58/gen_apigraph_cnt100_001_warm_lr0.003_sgd_step_0.95_e250_adam_wlr0.00015_we100_test_2013-01_2018-12_cnt100.csv</x:v>
      </x:c>
    </x:row>
    <x:row r="685" ht="20" customHeight="1">
      <x:c r="A685" s="27" t="str">
        <x:v>HCL</x:v>
      </x:c>
      <x:c r="B685" s="30" t="str">
        <x:v>2015-09</x:v>
      </x:c>
      <x:c r="C685" s="40" t="n">
        <x:v>100</x:v>
      </x:c>
      <x:c r="D685" s="41" t="n">
        <x:v>0.811</x:v>
      </x:c>
      <x:c r="E685" s="41" t="n">
        <x:v>0.2967</x:v>
      </x:c>
      <x:c r="F685" s="48" t="str">
        <x:v>experiments/results/hcl/100/07.22-11.28.58/gen_apigraph_cnt100_001_warm_lr0.003_sgd_step_0.95_e250_adam_wlr0.00015_we100_test_2013-01_2018-12_cnt100.csv</x:v>
      </x:c>
    </x:row>
    <x:row r="686" ht="20" customHeight="1">
      <x:c r="A686" s="27" t="str">
        <x:v>HCL</x:v>
      </x:c>
      <x:c r="B686" s="30" t="str">
        <x:v>2015-10</x:v>
      </x:c>
      <x:c r="C686" s="40" t="n">
        <x:v>100</x:v>
      </x:c>
      <x:c r="D686" s="41" t="n">
        <x:v>0.7655</x:v>
      </x:c>
      <x:c r="E686" s="41" t="n">
        <x:v>0.3642</x:v>
      </x:c>
      <x:c r="F686" s="48" t="str">
        <x:v>experiments/results/hcl/100/07.22-11.28.58/gen_apigraph_cnt100_001_warm_lr0.003_sgd_step_0.95_e250_adam_wlr0.00015_we100_test_2013-01_2018-12_cnt100.csv</x:v>
      </x:c>
    </x:row>
    <x:row r="687" ht="20" customHeight="1">
      <x:c r="A687" s="27" t="str">
        <x:v>HCL</x:v>
      </x:c>
      <x:c r="B687" s="30" t="str">
        <x:v>2015-11</x:v>
      </x:c>
      <x:c r="C687" s="40" t="n">
        <x:v>100</x:v>
      </x:c>
      <x:c r="D687" s="41" t="n">
        <x:v>0.8555</x:v>
      </x:c>
      <x:c r="E687" s="41" t="n">
        <x:v>0.2295</x:v>
      </x:c>
      <x:c r="F687" s="48" t="str">
        <x:v>experiments/results/hcl/100/07.22-11.28.58/gen_apigraph_cnt100_001_warm_lr0.003_sgd_step_0.95_e250_adam_wlr0.00015_we100_test_2013-01_2018-12_cnt100.csv</x:v>
      </x:c>
    </x:row>
    <x:row r="688" ht="20" customHeight="1">
      <x:c r="A688" s="27" t="str">
        <x:v>HCL</x:v>
      </x:c>
      <x:c r="B688" s="30" t="str">
        <x:v>2015-12</x:v>
      </x:c>
      <x:c r="C688" s="40" t="n">
        <x:v>100</x:v>
      </x:c>
      <x:c r="D688" s="41" t="n">
        <x:v>0.9117</x:v>
      </x:c>
      <x:c r="E688" s="41" t="n">
        <x:v>0.1414</x:v>
      </x:c>
      <x:c r="F688" s="48" t="str">
        <x:v>experiments/results/hcl/100/07.22-11.28.58/gen_apigraph_cnt100_001_warm_lr0.003_sgd_step_0.95_e250_adam_wlr0.00015_we100_test_2013-01_2018-12_cnt100.csv</x:v>
      </x:c>
    </x:row>
    <x:row r="689" ht="20" customHeight="1">
      <x:c r="A689" s="27" t="str">
        <x:v>HCL</x:v>
      </x:c>
      <x:c r="B689" s="30" t="str">
        <x:v>2016-01</x:v>
      </x:c>
      <x:c r="C689" s="40" t="n">
        <x:v>100</x:v>
      </x:c>
      <x:c r="D689" s="41" t="n">
        <x:v>0.9127</x:v>
      </x:c>
      <x:c r="E689" s="41" t="n">
        <x:v>0.1491</x:v>
      </x:c>
      <x:c r="F689" s="48" t="str">
        <x:v>experiments/results/hcl/100/07.22-11.28.58/gen_apigraph_cnt100_001_warm_lr0.003_sgd_step_0.95_e250_adam_wlr0.00015_we100_test_2013-01_2018-12_cnt100.csv</x:v>
      </x:c>
    </x:row>
    <x:row r="690" ht="20" customHeight="1">
      <x:c r="A690" s="27" t="str">
        <x:v>HCL</x:v>
      </x:c>
      <x:c r="B690" s="30" t="str">
        <x:v>2016-02</x:v>
      </x:c>
      <x:c r="C690" s="40" t="n">
        <x:v>100</x:v>
      </x:c>
      <x:c r="D690" s="41" t="n">
        <x:v>0.9417</x:v>
      </x:c>
      <x:c r="E690" s="41" t="n">
        <x:v>0.0876</x:v>
      </x:c>
      <x:c r="F690" s="48" t="str">
        <x:v>experiments/results/hcl/100/07.22-11.28.58/gen_apigraph_cnt100_001_warm_lr0.003_sgd_step_0.95_e250_adam_wlr0.00015_we100_test_2013-01_2018-12_cnt100.csv</x:v>
      </x:c>
    </x:row>
    <x:row r="691" ht="20" customHeight="1">
      <x:c r="A691" s="27" t="str">
        <x:v>HCL</x:v>
      </x:c>
      <x:c r="B691" s="30" t="str">
        <x:v>2016-03</x:v>
      </x:c>
      <x:c r="C691" s="40" t="n">
        <x:v>100</x:v>
      </x:c>
      <x:c r="D691" s="41" t="n">
        <x:v>0.9421</x:v>
      </x:c>
      <x:c r="E691" s="41" t="n">
        <x:v>0.0839</x:v>
      </x:c>
      <x:c r="F691" s="48" t="str">
        <x:v>experiments/results/hcl/100/07.22-11.28.58/gen_apigraph_cnt100_001_warm_lr0.003_sgd_step_0.95_e250_adam_wlr0.00015_we100_test_2013-01_2018-12_cnt100.csv</x:v>
      </x:c>
    </x:row>
    <x:row r="692" ht="20" customHeight="1">
      <x:c r="A692" s="27" t="str">
        <x:v>HCL</x:v>
      </x:c>
      <x:c r="B692" s="30" t="str">
        <x:v>2016-04</x:v>
      </x:c>
      <x:c r="C692" s="40" t="n">
        <x:v>100</x:v>
      </x:c>
      <x:c r="D692" s="41" t="n">
        <x:v>0.9045</x:v>
      </x:c>
      <x:c r="E692" s="41" t="n">
        <x:v>0.1227</x:v>
      </x:c>
      <x:c r="F692" s="48" t="str">
        <x:v>experiments/results/hcl/100/07.22-11.28.58/gen_apigraph_cnt100_001_warm_lr0.003_sgd_step_0.95_e250_adam_wlr0.00015_we100_test_2013-01_2018-12_cnt100.csv</x:v>
      </x:c>
    </x:row>
    <x:row r="693" ht="20" customHeight="1">
      <x:c r="A693" s="27" t="str">
        <x:v>HCL</x:v>
      </x:c>
      <x:c r="B693" s="30" t="str">
        <x:v>2016-05</x:v>
      </x:c>
      <x:c r="C693" s="40" t="n">
        <x:v>100</x:v>
      </x:c>
      <x:c r="D693" s="41" t="n">
        <x:v>0.94</x:v>
      </x:c>
      <x:c r="E693" s="41" t="n">
        <x:v>0.0964</x:v>
      </x:c>
      <x:c r="F693" s="48" t="str">
        <x:v>experiments/results/hcl/100/07.22-11.28.58/gen_apigraph_cnt100_001_warm_lr0.003_sgd_step_0.95_e250_adam_wlr0.00015_we100_test_2013-01_2018-12_cnt100.csv</x:v>
      </x:c>
    </x:row>
    <x:row r="694" ht="20" customHeight="1">
      <x:c r="A694" s="27" t="str">
        <x:v>HCL</x:v>
      </x:c>
      <x:c r="B694" s="30" t="str">
        <x:v>2016-06</x:v>
      </x:c>
      <x:c r="C694" s="40" t="n">
        <x:v>100</x:v>
      </x:c>
      <x:c r="D694" s="41" t="n">
        <x:v>0.9385</x:v>
      </x:c>
      <x:c r="E694" s="41" t="n">
        <x:v>0.0854</x:v>
      </x:c>
      <x:c r="F694" s="48" t="str">
        <x:v>experiments/results/hcl/100/07.22-11.28.58/gen_apigraph_cnt100_001_warm_lr0.003_sgd_step_0.95_e250_adam_wlr0.00015_we100_test_2013-01_2018-12_cnt100.csv</x:v>
      </x:c>
    </x:row>
    <x:row r="695" ht="20" customHeight="1">
      <x:c r="A695" s="27" t="str">
        <x:v>HCL</x:v>
      </x:c>
      <x:c r="B695" s="30" t="str">
        <x:v>2016-07</x:v>
      </x:c>
      <x:c r="C695" s="40" t="n">
        <x:v>100</x:v>
      </x:c>
      <x:c r="D695" s="41" t="n">
        <x:v>0.9169</x:v>
      </x:c>
      <x:c r="E695" s="41" t="n">
        <x:v>0.1164</x:v>
      </x:c>
      <x:c r="F695" s="48" t="str">
        <x:v>experiments/results/hcl/100/07.22-11.28.58/gen_apigraph_cnt100_001_warm_lr0.003_sgd_step_0.95_e250_adam_wlr0.00015_we100_test_2013-01_2018-12_cnt100.csv</x:v>
      </x:c>
    </x:row>
    <x:row r="696" ht="20" customHeight="1">
      <x:c r="A696" s="27" t="str">
        <x:v>HCL</x:v>
      </x:c>
      <x:c r="B696" s="30" t="str">
        <x:v>2016-08</x:v>
      </x:c>
      <x:c r="C696" s="40" t="n">
        <x:v>100</x:v>
      </x:c>
      <x:c r="D696" s="41" t="n">
        <x:v>0.9282</x:v>
      </x:c>
      <x:c r="E696" s="41" t="n">
        <x:v>0.1026</x:v>
      </x:c>
      <x:c r="F696" s="48" t="str">
        <x:v>experiments/results/hcl/100/07.22-11.28.58/gen_apigraph_cnt100_001_warm_lr0.003_sgd_step_0.95_e250_adam_wlr0.00015_we100_test_2013-01_2018-12_cnt100.csv</x:v>
      </x:c>
    </x:row>
    <x:row r="697" ht="20" customHeight="1">
      <x:c r="A697" s="27" t="str">
        <x:v>HCL</x:v>
      </x:c>
      <x:c r="B697" s="30" t="str">
        <x:v>2016-09</x:v>
      </x:c>
      <x:c r="C697" s="40" t="n">
        <x:v>100</x:v>
      </x:c>
      <x:c r="D697" s="41" t="n">
        <x:v>0.8712</x:v>
      </x:c>
      <x:c r="E697" s="41" t="n">
        <x:v>0.211</x:v>
      </x:c>
      <x:c r="F697" s="48" t="str">
        <x:v>experiments/results/hcl/100/07.22-11.28.58/gen_apigraph_cnt100_001_warm_lr0.003_sgd_step_0.95_e250_adam_wlr0.00015_we100_test_2013-01_2018-12_cnt100.csv</x:v>
      </x:c>
    </x:row>
    <x:row r="698" ht="20" customHeight="1">
      <x:c r="A698" s="27" t="str">
        <x:v>HCL</x:v>
      </x:c>
      <x:c r="B698" s="30" t="str">
        <x:v>2016-10</x:v>
      </x:c>
      <x:c r="C698" s="40" t="n">
        <x:v>100</x:v>
      </x:c>
      <x:c r="D698" s="41" t="n">
        <x:v>0.8855</x:v>
      </x:c>
      <x:c r="E698" s="41" t="n">
        <x:v>0.1667</x:v>
      </x:c>
      <x:c r="F698" s="48" t="str">
        <x:v>experiments/results/hcl/100/07.22-11.28.58/gen_apigraph_cnt100_001_warm_lr0.003_sgd_step_0.95_e250_adam_wlr0.00015_we100_test_2013-01_2018-12_cnt100.csv</x:v>
      </x:c>
    </x:row>
    <x:row r="699" ht="20" customHeight="1">
      <x:c r="A699" s="27" t="str">
        <x:v>HCL</x:v>
      </x:c>
      <x:c r="B699" s="30" t="str">
        <x:v>2016-11</x:v>
      </x:c>
      <x:c r="C699" s="40" t="n">
        <x:v>100</x:v>
      </x:c>
      <x:c r="D699" s="41" t="n">
        <x:v>0.9423</x:v>
      </x:c>
      <x:c r="E699" s="41" t="n">
        <x:v>0.0848</x:v>
      </x:c>
      <x:c r="F699" s="48" t="str">
        <x:v>experiments/results/hcl/100/07.22-11.28.58/gen_apigraph_cnt100_001_warm_lr0.003_sgd_step_0.95_e250_adam_wlr0.00015_we100_test_2013-01_2018-12_cnt100.csv</x:v>
      </x:c>
    </x:row>
    <x:row r="700" ht="20" customHeight="1">
      <x:c r="A700" s="27" t="str">
        <x:v>HCL</x:v>
      </x:c>
      <x:c r="B700" s="30" t="str">
        <x:v>2016-12</x:v>
      </x:c>
      <x:c r="C700" s="40" t="n">
        <x:v>100</x:v>
      </x:c>
      <x:c r="D700" s="41" t="n">
        <x:v>0.8642</x:v>
      </x:c>
      <x:c r="E700" s="41" t="n">
        <x:v>0.202</x:v>
      </x:c>
      <x:c r="F700" s="48" t="str">
        <x:v>experiments/results/hcl/100/07.22-11.28.58/gen_apigraph_cnt100_001_warm_lr0.003_sgd_step_0.95_e250_adam_wlr0.00015_we100_test_2013-01_2018-12_cnt100.csv</x:v>
      </x:c>
    </x:row>
    <x:row r="701" ht="20" customHeight="1">
      <x:c r="A701" s="27" t="str">
        <x:v>HCL</x:v>
      </x:c>
      <x:c r="B701" s="30" t="str">
        <x:v>2017-01</x:v>
      </x:c>
      <x:c r="C701" s="40" t="n">
        <x:v>100</x:v>
      </x:c>
      <x:c r="D701" s="41" t="n">
        <x:v>0.9094</x:v>
      </x:c>
      <x:c r="E701" s="41" t="n">
        <x:v>0.1219</x:v>
      </x:c>
      <x:c r="F701" s="48" t="str">
        <x:v>experiments/results/hcl/100/07.22-11.28.58/gen_apigraph_cnt100_001_warm_lr0.003_sgd_step_0.95_e250_adam_wlr0.00015_we100_test_2013-01_2018-12_cnt100.csv</x:v>
      </x:c>
    </x:row>
    <x:row r="702" ht="20" customHeight="1">
      <x:c r="A702" s="27" t="str">
        <x:v>HCL</x:v>
      </x:c>
      <x:c r="B702" s="30" t="str">
        <x:v>2017-02</x:v>
      </x:c>
      <x:c r="C702" s="40" t="n">
        <x:v>100</x:v>
      </x:c>
      <x:c r="D702" s="41" t="n">
        <x:v>0.9333</x:v>
      </x:c>
      <x:c r="E702" s="41" t="n">
        <x:v>0.087</x:v>
      </x:c>
      <x:c r="F702" s="48" t="str">
        <x:v>experiments/results/hcl/100/07.22-11.28.58/gen_apigraph_cnt100_001_warm_lr0.003_sgd_step_0.95_e250_adam_wlr0.00015_we100_test_2013-01_2018-12_cnt100.csv</x:v>
      </x:c>
    </x:row>
    <x:row r="703" ht="20" customHeight="1">
      <x:c r="A703" s="27" t="str">
        <x:v>HCL</x:v>
      </x:c>
      <x:c r="B703" s="30" t="str">
        <x:v>2017-03</x:v>
      </x:c>
      <x:c r="C703" s="40" t="n">
        <x:v>100</x:v>
      </x:c>
      <x:c r="D703" s="41" t="n">
        <x:v>0.8735</x:v>
      </x:c>
      <x:c r="E703" s="41" t="n">
        <x:v>0.1476</x:v>
      </x:c>
      <x:c r="F703" s="48" t="str">
        <x:v>experiments/results/hcl/100/07.22-11.28.58/gen_apigraph_cnt100_001_warm_lr0.003_sgd_step_0.95_e250_adam_wlr0.00015_we100_test_2013-01_2018-12_cnt100.csv</x:v>
      </x:c>
    </x:row>
    <x:row r="704" ht="20" customHeight="1">
      <x:c r="A704" s="27" t="str">
        <x:v>HCL</x:v>
      </x:c>
      <x:c r="B704" s="30" t="str">
        <x:v>2017-04</x:v>
      </x:c>
      <x:c r="C704" s="40" t="n">
        <x:v>100</x:v>
      </x:c>
      <x:c r="D704" s="41" t="n">
        <x:v>0.8622</x:v>
      </x:c>
      <x:c r="E704" s="41" t="n">
        <x:v>0.2129</x:v>
      </x:c>
      <x:c r="F704" s="48" t="str">
        <x:v>experiments/results/hcl/100/07.22-11.28.58/gen_apigraph_cnt100_001_warm_lr0.003_sgd_step_0.95_e250_adam_wlr0.00015_we100_test_2013-01_2018-12_cnt100.csv</x:v>
      </x:c>
    </x:row>
    <x:row r="705" ht="20" customHeight="1">
      <x:c r="A705" s="27" t="str">
        <x:v>HCL</x:v>
      </x:c>
      <x:c r="B705" s="30" t="str">
        <x:v>2017-05</x:v>
      </x:c>
      <x:c r="C705" s="40" t="n">
        <x:v>100</x:v>
      </x:c>
      <x:c r="D705" s="41" t="n">
        <x:v>0.8743</x:v>
      </x:c>
      <x:c r="E705" s="41" t="n">
        <x:v>0.1919</x:v>
      </x:c>
      <x:c r="F705" s="48" t="str">
        <x:v>experiments/results/hcl/100/07.22-11.28.58/gen_apigraph_cnt100_001_warm_lr0.003_sgd_step_0.95_e250_adam_wlr0.00015_we100_test_2013-01_2018-12_cnt100.csv</x:v>
      </x:c>
    </x:row>
    <x:row r="706" ht="20" customHeight="1">
      <x:c r="A706" s="27" t="str">
        <x:v>HCL</x:v>
      </x:c>
      <x:c r="B706" s="30" t="str">
        <x:v>2017-06</x:v>
      </x:c>
      <x:c r="C706" s="40" t="n">
        <x:v>100</x:v>
      </x:c>
      <x:c r="D706" s="41" t="n">
        <x:v>0.9032</x:v>
      </x:c>
      <x:c r="E706" s="41" t="n">
        <x:v>0.1327</x:v>
      </x:c>
      <x:c r="F706" s="48" t="str">
        <x:v>experiments/results/hcl/100/07.22-11.28.58/gen_apigraph_cnt100_001_warm_lr0.003_sgd_step_0.95_e250_adam_wlr0.00015_we100_test_2013-01_2018-12_cnt100.csv</x:v>
      </x:c>
    </x:row>
    <x:row r="707" ht="20" customHeight="1">
      <x:c r="A707" s="27" t="str">
        <x:v>HCL</x:v>
      </x:c>
      <x:c r="B707" s="30" t="str">
        <x:v>2017-07</x:v>
      </x:c>
      <x:c r="C707" s="40" t="n">
        <x:v>100</x:v>
      </x:c>
      <x:c r="D707" s="41" t="n">
        <x:v>0.8424</x:v>
      </x:c>
      <x:c r="E707" s="41" t="n">
        <x:v>0.1711</x:v>
      </x:c>
      <x:c r="F707" s="48" t="str">
        <x:v>experiments/results/hcl/100/07.22-11.28.58/gen_apigraph_cnt100_001_warm_lr0.003_sgd_step_0.95_e250_adam_wlr0.00015_we100_test_2013-01_2018-12_cnt100.csv</x:v>
      </x:c>
    </x:row>
    <x:row r="708" ht="20" customHeight="1">
      <x:c r="A708" s="27" t="str">
        <x:v>HCL</x:v>
      </x:c>
      <x:c r="B708" s="30" t="str">
        <x:v>2017-08</x:v>
      </x:c>
      <x:c r="C708" s="40" t="n">
        <x:v>100</x:v>
      </x:c>
      <x:c r="D708" s="41" t="n">
        <x:v>0.9492</x:v>
      </x:c>
      <x:c r="E708" s="41" t="n">
        <x:v>0.0541</x:v>
      </x:c>
      <x:c r="F708" s="48" t="str">
        <x:v>experiments/results/hcl/100/07.22-11.28.58/gen_apigraph_cnt100_001_warm_lr0.003_sgd_step_0.95_e250_adam_wlr0.00015_we100_test_2013-01_2018-12_cnt100.csv</x:v>
      </x:c>
    </x:row>
    <x:row r="709" ht="20" customHeight="1">
      <x:c r="A709" s="27" t="str">
        <x:v>HCL</x:v>
      </x:c>
      <x:c r="B709" s="30" t="str">
        <x:v>2017-09</x:v>
      </x:c>
      <x:c r="C709" s="40" t="n">
        <x:v>100</x:v>
      </x:c>
      <x:c r="D709" s="41" t="n">
        <x:v>0.9245</x:v>
      </x:c>
      <x:c r="E709" s="41" t="n">
        <x:v>0.0637</x:v>
      </x:c>
      <x:c r="F709" s="48" t="str">
        <x:v>experiments/results/hcl/100/07.22-11.28.58/gen_apigraph_cnt100_001_warm_lr0.003_sgd_step_0.95_e250_adam_wlr0.00015_we100_test_2013-01_2018-12_cnt100.csv</x:v>
      </x:c>
    </x:row>
    <x:row r="710" ht="20" customHeight="1">
      <x:c r="A710" s="27" t="str">
        <x:v>HCL</x:v>
      </x:c>
      <x:c r="B710" s="30" t="str">
        <x:v>2017-10</x:v>
      </x:c>
      <x:c r="C710" s="40" t="n">
        <x:v>100</x:v>
      </x:c>
      <x:c r="D710" s="41" t="n">
        <x:v>0.907</x:v>
      </x:c>
      <x:c r="E710" s="41" t="n">
        <x:v>0.1176</x:v>
      </x:c>
      <x:c r="F710" s="48" t="str">
        <x:v>experiments/results/hcl/100/07.22-11.28.58/gen_apigraph_cnt100_001_warm_lr0.003_sgd_step_0.95_e250_adam_wlr0.00015_we100_test_2013-01_2018-12_cnt100.csv</x:v>
      </x:c>
    </x:row>
    <x:row r="711" ht="20" customHeight="1">
      <x:c r="A711" s="27" t="str">
        <x:v>HCL</x:v>
      </x:c>
      <x:c r="B711" s="30" t="str">
        <x:v>2017-11</x:v>
      </x:c>
      <x:c r="C711" s="40" t="n">
        <x:v>100</x:v>
      </x:c>
      <x:c r="D711" s="41" t="n">
        <x:v>0.8729</x:v>
      </x:c>
      <x:c r="E711" s="41" t="n">
        <x:v>0.1413</x:v>
      </x:c>
      <x:c r="F711" s="48" t="str">
        <x:v>experiments/results/hcl/100/07.22-11.28.58/gen_apigraph_cnt100_001_warm_lr0.003_sgd_step_0.95_e250_adam_wlr0.00015_we100_test_2013-01_2018-12_cnt100.csv</x:v>
      </x:c>
    </x:row>
    <x:row r="712" ht="20" customHeight="1">
      <x:c r="A712" s="27" t="str">
        <x:v>HCL</x:v>
      </x:c>
      <x:c r="B712" s="30" t="str">
        <x:v>2017-12</x:v>
      </x:c>
      <x:c r="C712" s="40" t="n">
        <x:v>100</x:v>
      </x:c>
      <x:c r="D712" s="41" t="n">
        <x:v>0.9035</x:v>
      </x:c>
      <x:c r="E712" s="41" t="n">
        <x:v>0.064</x:v>
      </x:c>
      <x:c r="F712" s="48" t="str">
        <x:v>experiments/results/hcl/100/07.22-11.28.58/gen_apigraph_cnt100_001_warm_lr0.003_sgd_step_0.95_e250_adam_wlr0.00015_we100_test_2013-01_2018-12_cnt100.csv</x:v>
      </x:c>
    </x:row>
    <x:row r="713" ht="20" customHeight="1">
      <x:c r="A713" s="27" t="str">
        <x:v>HCL</x:v>
      </x:c>
      <x:c r="B713" s="30" t="str">
        <x:v>2018-01</x:v>
      </x:c>
      <x:c r="C713" s="40" t="n">
        <x:v>100</x:v>
      </x:c>
      <x:c r="D713" s="41" t="n">
        <x:v>0.898</x:v>
      </x:c>
      <x:c r="E713" s="41" t="n">
        <x:v>0.1373</x:v>
      </x:c>
      <x:c r="F713" s="48" t="str">
        <x:v>experiments/results/hcl/100/07.22-11.28.58/gen_apigraph_cnt100_001_warm_lr0.003_sgd_step_0.95_e250_adam_wlr0.00015_we100_test_2013-01_2018-12_cnt100.csv</x:v>
      </x:c>
    </x:row>
    <x:row r="714" ht="20" customHeight="1">
      <x:c r="A714" s="27" t="str">
        <x:v>HCL</x:v>
      </x:c>
      <x:c r="B714" s="30" t="str">
        <x:v>2018-02</x:v>
      </x:c>
      <x:c r="C714" s="40" t="n">
        <x:v>100</x:v>
      </x:c>
      <x:c r="D714" s="41" t="n">
        <x:v>0.9286</x:v>
      </x:c>
      <x:c r="E714" s="41" t="n">
        <x:v>0.1034</x:v>
      </x:c>
      <x:c r="F714" s="48" t="str">
        <x:v>experiments/results/hcl/100/07.22-11.28.58/gen_apigraph_cnt100_001_warm_lr0.003_sgd_step_0.95_e250_adam_wlr0.00015_we100_test_2013-01_2018-12_cnt100.csv</x:v>
      </x:c>
    </x:row>
    <x:row r="715" ht="20" customHeight="1">
      <x:c r="A715" s="27" t="str">
        <x:v>HCL</x:v>
      </x:c>
      <x:c r="B715" s="30" t="str">
        <x:v>2018-03</x:v>
      </x:c>
      <x:c r="C715" s="40" t="n">
        <x:v>100</x:v>
      </x:c>
      <x:c r="D715" s="41" t="n">
        <x:v>0.9231</x:v>
      </x:c>
      <x:c r="E715" s="41" t="n">
        <x:v>0.1022</x:v>
      </x:c>
      <x:c r="F715" s="48" t="str">
        <x:v>experiments/results/hcl/100/07.22-11.28.58/gen_apigraph_cnt100_001_warm_lr0.003_sgd_step_0.95_e250_adam_wlr0.00015_we100_test_2013-01_2018-12_cnt100.csv</x:v>
      </x:c>
    </x:row>
    <x:row r="716" ht="20" customHeight="1">
      <x:c r="A716" s="27" t="str">
        <x:v>HCL</x:v>
      </x:c>
      <x:c r="B716" s="30" t="str">
        <x:v>2018-04</x:v>
      </x:c>
      <x:c r="C716" s="40" t="n">
        <x:v>100</x:v>
      </x:c>
      <x:c r="D716" s="41" t="n">
        <x:v>0.942</x:v>
      </x:c>
      <x:c r="E716" s="41" t="n">
        <x:v>0.0747</x:v>
      </x:c>
      <x:c r="F716" s="48" t="str">
        <x:v>experiments/results/hcl/100/07.22-11.28.58/gen_apigraph_cnt100_001_warm_lr0.003_sgd_step_0.95_e250_adam_wlr0.00015_we100_test_2013-01_2018-12_cnt100.csv</x:v>
      </x:c>
    </x:row>
    <x:row r="717" ht="20" customHeight="1">
      <x:c r="A717" s="27" t="str">
        <x:v>HCL</x:v>
      </x:c>
      <x:c r="B717" s="30" t="str">
        <x:v>2018-05</x:v>
      </x:c>
      <x:c r="C717" s="40" t="n">
        <x:v>100</x:v>
      </x:c>
      <x:c r="D717" s="41" t="n">
        <x:v>0.937</x:v>
      </x:c>
      <x:c r="E717" s="41" t="n">
        <x:v>0.0785</x:v>
      </x:c>
      <x:c r="F717" s="48" t="str">
        <x:v>experiments/results/hcl/100/07.22-11.28.58/gen_apigraph_cnt100_001_warm_lr0.003_sgd_step_0.95_e250_adam_wlr0.00015_we100_test_2013-01_2018-12_cnt100.csv</x:v>
      </x:c>
    </x:row>
    <x:row r="718" ht="20" customHeight="1">
      <x:c r="A718" s="27" t="str">
        <x:v>HCL</x:v>
      </x:c>
      <x:c r="B718" s="30" t="str">
        <x:v>2018-06</x:v>
      </x:c>
      <x:c r="C718" s="40" t="n">
        <x:v>100</x:v>
      </x:c>
      <x:c r="D718" s="41" t="n">
        <x:v>0.8947</x:v>
      </x:c>
      <x:c r="E718" s="41" t="n">
        <x:v>0.182</x:v>
      </x:c>
      <x:c r="F718" s="48" t="str">
        <x:v>experiments/results/hcl/100/07.22-11.28.58/gen_apigraph_cnt100_001_warm_lr0.003_sgd_step_0.95_e250_adam_wlr0.00015_we100_test_2013-01_2018-12_cnt100.csv</x:v>
      </x:c>
    </x:row>
    <x:row r="719" ht="20" customHeight="1">
      <x:c r="A719" s="27" t="str">
        <x:v>HCL</x:v>
      </x:c>
      <x:c r="B719" s="30" t="str">
        <x:v>2018-07</x:v>
      </x:c>
      <x:c r="C719" s="40" t="n">
        <x:v>100</x:v>
      </x:c>
      <x:c r="D719" s="41" t="n">
        <x:v>0.8395</x:v>
      </x:c>
      <x:c r="E719" s="41" t="n">
        <x:v>0.2602</x:v>
      </x:c>
      <x:c r="F719" s="48" t="str">
        <x:v>experiments/results/hcl/100/07.22-11.28.58/gen_apigraph_cnt100_001_warm_lr0.003_sgd_step_0.95_e250_adam_wlr0.00015_we100_test_2013-01_2018-12_cnt100.csv</x:v>
      </x:c>
    </x:row>
    <x:row r="720" ht="20" customHeight="1">
      <x:c r="A720" s="27" t="str">
        <x:v>HCL</x:v>
      </x:c>
      <x:c r="B720" s="30" t="str">
        <x:v>2018-08</x:v>
      </x:c>
      <x:c r="C720" s="40" t="n">
        <x:v>100</x:v>
      </x:c>
      <x:c r="D720" s="41" t="n">
        <x:v>0.913</x:v>
      </x:c>
      <x:c r="E720" s="41" t="n">
        <x:v>0.1168</x:v>
      </x:c>
      <x:c r="F720" s="48" t="str">
        <x:v>experiments/results/hcl/100/07.22-11.28.58/gen_apigraph_cnt100_001_warm_lr0.003_sgd_step_0.95_e250_adam_wlr0.00015_we100_test_2013-01_2018-12_cnt100.csv</x:v>
      </x:c>
    </x:row>
    <x:row r="721" ht="20" customHeight="1">
      <x:c r="A721" s="27" t="str">
        <x:v>HCL</x:v>
      </x:c>
      <x:c r="B721" s="30" t="str">
        <x:v>2018-09</x:v>
      </x:c>
      <x:c r="C721" s="40" t="n">
        <x:v>100</x:v>
      </x:c>
      <x:c r="D721" s="41" t="n">
        <x:v>0.928</x:v>
      </x:c>
      <x:c r="E721" s="41" t="n">
        <x:v>0.0852</x:v>
      </x:c>
      <x:c r="F721" s="48" t="str">
        <x:v>experiments/results/hcl/100/07.22-11.28.58/gen_apigraph_cnt100_001_warm_lr0.003_sgd_step_0.95_e250_adam_wlr0.00015_we100_test_2013-01_2018-12_cnt100.csv</x:v>
      </x:c>
    </x:row>
    <x:row r="722" ht="20" customHeight="1">
      <x:c r="A722" s="27" t="str">
        <x:v>HCL</x:v>
      </x:c>
      <x:c r="B722" s="30" t="str">
        <x:v>2018-10</x:v>
      </x:c>
      <x:c r="C722" s="40" t="n">
        <x:v>100</x:v>
      </x:c>
      <x:c r="D722" s="41" t="n">
        <x:v>0.9061</x:v>
      </x:c>
      <x:c r="E722" s="41" t="n">
        <x:v>0.1481</x:v>
      </x:c>
      <x:c r="F722" s="48" t="str">
        <x:v>experiments/results/hcl/100/07.22-11.28.58/gen_apigraph_cnt100_001_warm_lr0.003_sgd_step_0.95_e250_adam_wlr0.00015_we100_test_2013-01_2018-12_cnt100.csv</x:v>
      </x:c>
    </x:row>
    <x:row r="723" ht="20" customHeight="1">
      <x:c r="A723" s="27" t="str">
        <x:v>HCL</x:v>
      </x:c>
      <x:c r="B723" s="30" t="str">
        <x:v>2018-11</x:v>
      </x:c>
      <x:c r="C723" s="40" t="n">
        <x:v>100</x:v>
      </x:c>
      <x:c r="D723" s="41" t="n">
        <x:v>0.9439</x:v>
      </x:c>
      <x:c r="E723" s="41" t="n">
        <x:v>0.0627</x:v>
      </x:c>
      <x:c r="F723" s="48" t="str">
        <x:v>experiments/results/hcl/100/07.22-11.28.58/gen_apigraph_cnt100_001_warm_lr0.003_sgd_step_0.95_e250_adam_wlr0.00015_we100_test_2013-01_2018-12_cnt100.csv</x:v>
      </x:c>
    </x:row>
    <x:row r="724" ht="20" customHeight="1">
      <x:c r="A724" s="27" t="str">
        <x:v>HCL</x:v>
      </x:c>
      <x:c r="B724" s="30" t="str">
        <x:v>2018-12</x:v>
      </x:c>
      <x:c r="C724" s="40" t="n">
        <x:v>100</x:v>
      </x:c>
      <x:c r="D724" s="41" t="n">
        <x:v>0.9662</x:v>
      </x:c>
      <x:c r="E724" s="41" t="n">
        <x:v>0.0363</x:v>
      </x:c>
      <x:c r="F724" s="48" t="str">
        <x:v>experiments/results/hcl/100/07.22-11.28.58/gen_apigraph_cnt100_001_warm_lr0.003_sgd_step_0.95_e250_adam_wlr0.00015_we100_test_2013-01_2018-12_cnt100.csv</x:v>
      </x:c>
    </x:row>
    <x:row r="725" ht="20" customHeight="1">
      <x:c r="A725" s="27" t="str">
        <x:v>HCL</x:v>
      </x:c>
      <x:c r="B725" s="30" t="str">
        <x:v>2013-01</x:v>
      </x:c>
      <x:c r="C725" s="40" t="n">
        <x:v>200</x:v>
      </x:c>
      <x:c r="D725" s="41" t="n">
        <x:v>0.9501</x:v>
      </x:c>
      <x:c r="E725" s="41" t="n">
        <x:v>0.028</x:v>
      </x:c>
      <x:c r="F725" s="48" t="str">
        <x:v>experiments/results/hcl/200/07.22-16.19.15/gen_apigraph_cnt200_001_warm_lr0.003_sgd_step_0.95_e250_adam_wlr0.00015_we100_test_2013-01_2018-12_cnt200.csv</x:v>
      </x:c>
    </x:row>
    <x:row r="726" ht="20" customHeight="1">
      <x:c r="A726" s="27" t="str">
        <x:v>HCL</x:v>
      </x:c>
      <x:c r="B726" s="30" t="str">
        <x:v>2013-02</x:v>
      </x:c>
      <x:c r="C726" s="40" t="n">
        <x:v>200</x:v>
      </x:c>
      <x:c r="D726" s="41" t="n">
        <x:v>0.913</x:v>
      </x:c>
      <x:c r="E726" s="41" t="n">
        <x:v>0.1469</x:v>
      </x:c>
      <x:c r="F726" s="48" t="str">
        <x:v>experiments/results/hcl/200/07.22-16.19.15/gen_apigraph_cnt200_001_warm_lr0.003_sgd_step_0.95_e250_adam_wlr0.00015_we100_test_2013-01_2018-12_cnt200.csv</x:v>
      </x:c>
    </x:row>
    <x:row r="727" ht="20" customHeight="1">
      <x:c r="A727" s="27" t="str">
        <x:v>HCL</x:v>
      </x:c>
      <x:c r="B727" s="30" t="str">
        <x:v>2013-03</x:v>
      </x:c>
      <x:c r="C727" s="40" t="n">
        <x:v>200</x:v>
      </x:c>
      <x:c r="D727" s="41" t="n">
        <x:v>0.9074</x:v>
      </x:c>
      <x:c r="E727" s="41" t="n">
        <x:v>0.1128</x:v>
      </x:c>
      <x:c r="F727" s="48" t="str">
        <x:v>experiments/results/hcl/200/07.22-16.19.15/gen_apigraph_cnt200_001_warm_lr0.003_sgd_step_0.95_e250_adam_wlr0.00015_we100_test_2013-01_2018-12_cnt200.csv</x:v>
      </x:c>
    </x:row>
    <x:row r="728" ht="20" customHeight="1">
      <x:c r="A728" s="27" t="str">
        <x:v>HCL</x:v>
      </x:c>
      <x:c r="B728" s="30" t="str">
        <x:v>2013-04</x:v>
      </x:c>
      <x:c r="C728" s="40" t="n">
        <x:v>200</x:v>
      </x:c>
      <x:c r="D728" s="41" t="n">
        <x:v>0.9168</x:v>
      </x:c>
      <x:c r="E728" s="41" t="n">
        <x:v>0.1362</x:v>
      </x:c>
      <x:c r="F728" s="48" t="str">
        <x:v>experiments/results/hcl/200/07.22-16.19.15/gen_apigraph_cnt200_001_warm_lr0.003_sgd_step_0.95_e250_adam_wlr0.00015_we100_test_2013-01_2018-12_cnt200.csv</x:v>
      </x:c>
    </x:row>
    <x:row r="729" ht="20" customHeight="1">
      <x:c r="A729" s="27" t="str">
        <x:v>HCL</x:v>
      </x:c>
      <x:c r="B729" s="30" t="str">
        <x:v>2013-05</x:v>
      </x:c>
      <x:c r="C729" s="40" t="n">
        <x:v>200</x:v>
      </x:c>
      <x:c r="D729" s="41" t="n">
        <x:v>0.9073</x:v>
      </x:c>
      <x:c r="E729" s="41" t="n">
        <x:v>0.1577</x:v>
      </x:c>
      <x:c r="F729" s="48" t="str">
        <x:v>experiments/results/hcl/200/07.22-16.19.15/gen_apigraph_cnt200_001_warm_lr0.003_sgd_step_0.95_e250_adam_wlr0.00015_we100_test_2013-01_2018-12_cnt200.csv</x:v>
      </x:c>
    </x:row>
    <x:row r="730" ht="20" customHeight="1">
      <x:c r="A730" s="27" t="str">
        <x:v>HCL</x:v>
      </x:c>
      <x:c r="B730" s="30" t="str">
        <x:v>2013-06</x:v>
      </x:c>
      <x:c r="C730" s="40" t="n">
        <x:v>200</x:v>
      </x:c>
      <x:c r="D730" s="41" t="n">
        <x:v>0.9068</x:v>
      </x:c>
      <x:c r="E730" s="41" t="n">
        <x:v>0.1509</x:v>
      </x:c>
      <x:c r="F730" s="48" t="str">
        <x:v>experiments/results/hcl/200/07.22-16.19.15/gen_apigraph_cnt200_001_warm_lr0.003_sgd_step_0.95_e250_adam_wlr0.00015_we100_test_2013-01_2018-12_cnt200.csv</x:v>
      </x:c>
    </x:row>
    <x:row r="731" ht="20" customHeight="1">
      <x:c r="A731" s="27" t="str">
        <x:v>HCL</x:v>
      </x:c>
      <x:c r="B731" s="30" t="str">
        <x:v>2013-07</x:v>
      </x:c>
      <x:c r="C731" s="40" t="n">
        <x:v>200</x:v>
      </x:c>
      <x:c r="D731" s="41" t="n">
        <x:v>0.9416</x:v>
      </x:c>
      <x:c r="E731" s="41" t="n">
        <x:v>0.0751</x:v>
      </x:c>
      <x:c r="F731" s="48" t="str">
        <x:v>experiments/results/hcl/200/07.22-16.19.15/gen_apigraph_cnt200_001_warm_lr0.003_sgd_step_0.95_e250_adam_wlr0.00015_we100_test_2013-01_2018-12_cnt200.csv</x:v>
      </x:c>
    </x:row>
    <x:row r="732" ht="20" customHeight="1">
      <x:c r="A732" s="27" t="str">
        <x:v>HCL</x:v>
      </x:c>
      <x:c r="B732" s="30" t="str">
        <x:v>2013-08</x:v>
      </x:c>
      <x:c r="C732" s="40" t="n">
        <x:v>200</x:v>
      </x:c>
      <x:c r="D732" s="41" t="n">
        <x:v>0.9277</x:v>
      </x:c>
      <x:c r="E732" s="41" t="n">
        <x:v>0.0992</x:v>
      </x:c>
      <x:c r="F732" s="48" t="str">
        <x:v>experiments/results/hcl/200/07.22-16.19.15/gen_apigraph_cnt200_001_warm_lr0.003_sgd_step_0.95_e250_adam_wlr0.00015_we100_test_2013-01_2018-12_cnt200.csv</x:v>
      </x:c>
    </x:row>
    <x:row r="733" ht="20" customHeight="1">
      <x:c r="A733" s="27" t="str">
        <x:v>HCL</x:v>
      </x:c>
      <x:c r="B733" s="30" t="str">
        <x:v>2013-09</x:v>
      </x:c>
      <x:c r="C733" s="40" t="n">
        <x:v>200</x:v>
      </x:c>
      <x:c r="D733" s="41" t="n">
        <x:v>0.9097</x:v>
      </x:c>
      <x:c r="E733" s="41" t="n">
        <x:v>0.124</x:v>
      </x:c>
      <x:c r="F733" s="48" t="str">
        <x:v>experiments/results/hcl/200/07.22-16.19.15/gen_apigraph_cnt200_001_warm_lr0.003_sgd_step_0.95_e250_adam_wlr0.00015_we100_test_2013-01_2018-12_cnt200.csv</x:v>
      </x:c>
    </x:row>
    <x:row r="734" ht="20" customHeight="1">
      <x:c r="A734" s="27" t="str">
        <x:v>HCL</x:v>
      </x:c>
      <x:c r="B734" s="30" t="str">
        <x:v>2013-10</x:v>
      </x:c>
      <x:c r="C734" s="40" t="n">
        <x:v>200</x:v>
      </x:c>
      <x:c r="D734" s="41" t="n">
        <x:v>0.902</x:v>
      </x:c>
      <x:c r="E734" s="41" t="n">
        <x:v>0.1423</x:v>
      </x:c>
      <x:c r="F734" s="48" t="str">
        <x:v>experiments/results/hcl/200/07.22-16.19.15/gen_apigraph_cnt200_001_warm_lr0.003_sgd_step_0.95_e250_adam_wlr0.00015_we100_test_2013-01_2018-12_cnt200.csv</x:v>
      </x:c>
    </x:row>
    <x:row r="735" ht="20" customHeight="1">
      <x:c r="A735" s="27" t="str">
        <x:v>HCL</x:v>
      </x:c>
      <x:c r="B735" s="30" t="str">
        <x:v>2013-11</x:v>
      </x:c>
      <x:c r="C735" s="40" t="n">
        <x:v>200</x:v>
      </x:c>
      <x:c r="D735" s="41" t="n">
        <x:v>0.9013</x:v>
      </x:c>
      <x:c r="E735" s="41" t="n">
        <x:v>0.1515</x:v>
      </x:c>
      <x:c r="F735" s="48" t="str">
        <x:v>experiments/results/hcl/200/07.22-16.19.15/gen_apigraph_cnt200_001_warm_lr0.003_sgd_step_0.95_e250_adam_wlr0.00015_we100_test_2013-01_2018-12_cnt200.csv</x:v>
      </x:c>
    </x:row>
    <x:row r="736" ht="20" customHeight="1">
      <x:c r="A736" s="27" t="str">
        <x:v>HCL</x:v>
      </x:c>
      <x:c r="B736" s="30" t="str">
        <x:v>2013-12</x:v>
      </x:c>
      <x:c r="C736" s="40" t="n">
        <x:v>200</x:v>
      </x:c>
      <x:c r="D736" s="41" t="n">
        <x:v>0.9448</x:v>
      </x:c>
      <x:c r="E736" s="41" t="n">
        <x:v>0.0741</x:v>
      </x:c>
      <x:c r="F736" s="48" t="str">
        <x:v>experiments/results/hcl/200/07.22-16.19.15/gen_apigraph_cnt200_001_warm_lr0.003_sgd_step_0.95_e250_adam_wlr0.00015_we100_test_2013-01_2018-12_cnt200.csv</x:v>
      </x:c>
    </x:row>
    <x:row r="737" ht="20" customHeight="1">
      <x:c r="A737" s="27" t="str">
        <x:v>HCL</x:v>
      </x:c>
      <x:c r="B737" s="30" t="str">
        <x:v>2014-01</x:v>
      </x:c>
      <x:c r="C737" s="40" t="n">
        <x:v>200</x:v>
      </x:c>
      <x:c r="D737" s="41" t="n">
        <x:v>0.865</x:v>
      </x:c>
      <x:c r="E737" s="41" t="n">
        <x:v>0.2008</x:v>
      </x:c>
      <x:c r="F737" s="48" t="str">
        <x:v>experiments/results/hcl/200/07.22-16.19.15/gen_apigraph_cnt200_001_warm_lr0.003_sgd_step_0.95_e250_adam_wlr0.00015_we100_test_2013-01_2018-12_cnt200.csv</x:v>
      </x:c>
    </x:row>
    <x:row r="738" ht="20" customHeight="1">
      <x:c r="A738" s="27" t="str">
        <x:v>HCL</x:v>
      </x:c>
      <x:c r="B738" s="30" t="str">
        <x:v>2014-02</x:v>
      </x:c>
      <x:c r="C738" s="40" t="n">
        <x:v>200</x:v>
      </x:c>
      <x:c r="D738" s="41" t="n">
        <x:v>0.9347</x:v>
      </x:c>
      <x:c r="E738" s="41" t="n">
        <x:v>0.0747</x:v>
      </x:c>
      <x:c r="F738" s="48" t="str">
        <x:v>experiments/results/hcl/200/07.22-16.19.15/gen_apigraph_cnt200_001_warm_lr0.003_sgd_step_0.95_e250_adam_wlr0.00015_we100_test_2013-01_2018-12_cnt200.csv</x:v>
      </x:c>
    </x:row>
    <x:row r="739" ht="20" customHeight="1">
      <x:c r="A739" s="27" t="str">
        <x:v>HCL</x:v>
      </x:c>
      <x:c r="B739" s="30" t="str">
        <x:v>2014-03</x:v>
      </x:c>
      <x:c r="C739" s="40" t="n">
        <x:v>200</x:v>
      </x:c>
      <x:c r="D739" s="41" t="n">
        <x:v>0.8967</x:v>
      </x:c>
      <x:c r="E739" s="41" t="n">
        <x:v>0.1478</x:v>
      </x:c>
      <x:c r="F739" s="48" t="str">
        <x:v>experiments/results/hcl/200/07.22-16.19.15/gen_apigraph_cnt200_001_warm_lr0.003_sgd_step_0.95_e250_adam_wlr0.00015_we100_test_2013-01_2018-12_cnt200.csv</x:v>
      </x:c>
    </x:row>
    <x:row r="740" ht="20" customHeight="1">
      <x:c r="A740" s="27" t="str">
        <x:v>HCL</x:v>
      </x:c>
      <x:c r="B740" s="30" t="str">
        <x:v>2014-04</x:v>
      </x:c>
      <x:c r="C740" s="40" t="n">
        <x:v>200</x:v>
      </x:c>
      <x:c r="D740" s="41" t="n">
        <x:v>0.8892</x:v>
      </x:c>
      <x:c r="E740" s="41" t="n">
        <x:v>0.1614</x:v>
      </x:c>
      <x:c r="F740" s="48" t="str">
        <x:v>experiments/results/hcl/200/07.22-16.19.15/gen_apigraph_cnt200_001_warm_lr0.003_sgd_step_0.95_e250_adam_wlr0.00015_we100_test_2013-01_2018-12_cnt200.csv</x:v>
      </x:c>
    </x:row>
    <x:row r="741" ht="20" customHeight="1">
      <x:c r="A741" s="27" t="str">
        <x:v>HCL</x:v>
      </x:c>
      <x:c r="B741" s="30" t="str">
        <x:v>2014-05</x:v>
      </x:c>
      <x:c r="C741" s="40" t="n">
        <x:v>200</x:v>
      </x:c>
      <x:c r="D741" s="41" t="n">
        <x:v>0.8681</x:v>
      </x:c>
      <x:c r="E741" s="41" t="n">
        <x:v>0.2052</x:v>
      </x:c>
      <x:c r="F741" s="48" t="str">
        <x:v>experiments/results/hcl/200/07.22-16.19.15/gen_apigraph_cnt200_001_warm_lr0.003_sgd_step_0.95_e250_adam_wlr0.00015_we100_test_2013-01_2018-12_cnt200.csv</x:v>
      </x:c>
    </x:row>
    <x:row r="742" ht="20" customHeight="1">
      <x:c r="A742" s="27" t="str">
        <x:v>HCL</x:v>
      </x:c>
      <x:c r="B742" s="30" t="str">
        <x:v>2014-06</x:v>
      </x:c>
      <x:c r="C742" s="40" t="n">
        <x:v>200</x:v>
      </x:c>
      <x:c r="D742" s="41" t="n">
        <x:v>0.8111</x:v>
      </x:c>
      <x:c r="E742" s="41" t="n">
        <x:v>0.2932</x:v>
      </x:c>
      <x:c r="F742" s="48" t="str">
        <x:v>experiments/results/hcl/200/07.22-16.19.15/gen_apigraph_cnt200_001_warm_lr0.003_sgd_step_0.95_e250_adam_wlr0.00015_we100_test_2013-01_2018-12_cnt200.csv</x:v>
      </x:c>
    </x:row>
    <x:row r="743" ht="20" customHeight="1">
      <x:c r="A743" s="27" t="str">
        <x:v>HCL</x:v>
      </x:c>
      <x:c r="B743" s="30" t="str">
        <x:v>2014-07</x:v>
      </x:c>
      <x:c r="C743" s="40" t="n">
        <x:v>200</x:v>
      </x:c>
      <x:c r="D743" s="41" t="n">
        <x:v>0.811</x:v>
      </x:c>
      <x:c r="E743" s="41" t="n">
        <x:v>0.2906</x:v>
      </x:c>
      <x:c r="F743" s="48" t="str">
        <x:v>experiments/results/hcl/200/07.22-16.19.15/gen_apigraph_cnt200_001_warm_lr0.003_sgd_step_0.95_e250_adam_wlr0.00015_we100_test_2013-01_2018-12_cnt200.csv</x:v>
      </x:c>
    </x:row>
    <x:row r="744" ht="20" customHeight="1">
      <x:c r="A744" s="27" t="str">
        <x:v>HCL</x:v>
      </x:c>
      <x:c r="B744" s="30" t="str">
        <x:v>2014-08</x:v>
      </x:c>
      <x:c r="C744" s="40" t="n">
        <x:v>200</x:v>
      </x:c>
      <x:c r="D744" s="41" t="n">
        <x:v>0.8606</x:v>
      </x:c>
      <x:c r="E744" s="41" t="n">
        <x:v>0.2218</x:v>
      </x:c>
      <x:c r="F744" s="48" t="str">
        <x:v>experiments/results/hcl/200/07.22-16.19.15/gen_apigraph_cnt200_001_warm_lr0.003_sgd_step_0.95_e250_adam_wlr0.00015_we100_test_2013-01_2018-12_cnt200.csv</x:v>
      </x:c>
    </x:row>
    <x:row r="745" ht="20" customHeight="1">
      <x:c r="A745" s="27" t="str">
        <x:v>HCL</x:v>
      </x:c>
      <x:c r="B745" s="30" t="str">
        <x:v>2014-09</x:v>
      </x:c>
      <x:c r="C745" s="40" t="n">
        <x:v>200</x:v>
      </x:c>
      <x:c r="D745" s="41" t="n">
        <x:v>0.8676</x:v>
      </x:c>
      <x:c r="E745" s="41" t="n">
        <x:v>0.2156</x:v>
      </x:c>
      <x:c r="F745" s="48" t="str">
        <x:v>experiments/results/hcl/200/07.22-16.19.15/gen_apigraph_cnt200_001_warm_lr0.003_sgd_step_0.95_e250_adam_wlr0.00015_we100_test_2013-01_2018-12_cnt200.csv</x:v>
      </x:c>
    </x:row>
    <x:row r="746" ht="20" customHeight="1">
      <x:c r="A746" s="27" t="str">
        <x:v>HCL</x:v>
      </x:c>
      <x:c r="B746" s="30" t="str">
        <x:v>2014-10</x:v>
      </x:c>
      <x:c r="C746" s="40" t="n">
        <x:v>200</x:v>
      </x:c>
      <x:c r="D746" s="41" t="n">
        <x:v>0.8512</x:v>
      </x:c>
      <x:c r="E746" s="41" t="n">
        <x:v>0.2454</x:v>
      </x:c>
      <x:c r="F746" s="48" t="str">
        <x:v>experiments/results/hcl/200/07.22-16.19.15/gen_apigraph_cnt200_001_warm_lr0.003_sgd_step_0.95_e250_adam_wlr0.00015_we100_test_2013-01_2018-12_cnt200.csv</x:v>
      </x:c>
    </x:row>
    <x:row r="747" ht="20" customHeight="1">
      <x:c r="A747" s="27" t="str">
        <x:v>HCL</x:v>
      </x:c>
      <x:c r="B747" s="30" t="str">
        <x:v>2014-11</x:v>
      </x:c>
      <x:c r="C747" s="40" t="n">
        <x:v>200</x:v>
      </x:c>
      <x:c r="D747" s="41" t="n">
        <x:v>0.9339</x:v>
      </x:c>
      <x:c r="E747" s="41" t="n">
        <x:v>0.0974</x:v>
      </x:c>
      <x:c r="F747" s="48" t="str">
        <x:v>experiments/results/hcl/200/07.22-16.19.15/gen_apigraph_cnt200_001_warm_lr0.003_sgd_step_0.95_e250_adam_wlr0.00015_we100_test_2013-01_2018-12_cnt200.csv</x:v>
      </x:c>
    </x:row>
    <x:row r="748" ht="20" customHeight="1">
      <x:c r="A748" s="27" t="str">
        <x:v>HCL</x:v>
      </x:c>
      <x:c r="B748" s="30" t="str">
        <x:v>2014-12</x:v>
      </x:c>
      <x:c r="C748" s="40" t="n">
        <x:v>200</x:v>
      </x:c>
      <x:c r="D748" s="41" t="n">
        <x:v>0.8783</x:v>
      </x:c>
      <x:c r="E748" s="41" t="n">
        <x:v>0.1947</x:v>
      </x:c>
      <x:c r="F748" s="48" t="str">
        <x:v>experiments/results/hcl/200/07.22-16.19.15/gen_apigraph_cnt200_001_warm_lr0.003_sgd_step_0.95_e250_adam_wlr0.00015_we100_test_2013-01_2018-12_cnt200.csv</x:v>
      </x:c>
    </x:row>
    <x:row r="749" ht="20" customHeight="1">
      <x:c r="A749" s="27" t="str">
        <x:v>HCL</x:v>
      </x:c>
      <x:c r="B749" s="30" t="str">
        <x:v>2015-01</x:v>
      </x:c>
      <x:c r="C749" s="40" t="n">
        <x:v>200</x:v>
      </x:c>
      <x:c r="D749" s="41" t="n">
        <x:v>0.8886</x:v>
      </x:c>
      <x:c r="E749" s="41" t="n">
        <x:v>0.1904</x:v>
      </x:c>
      <x:c r="F749" s="48" t="str">
        <x:v>experiments/results/hcl/200/07.22-16.19.15/gen_apigraph_cnt200_001_warm_lr0.003_sgd_step_0.95_e250_adam_wlr0.00015_we100_test_2013-01_2018-12_cnt200.csv</x:v>
      </x:c>
    </x:row>
    <x:row r="750" ht="20" customHeight="1">
      <x:c r="A750" s="27" t="str">
        <x:v>HCL</x:v>
      </x:c>
      <x:c r="B750" s="30" t="str">
        <x:v>2015-02</x:v>
      </x:c>
      <x:c r="C750" s="40" t="n">
        <x:v>200</x:v>
      </x:c>
      <x:c r="D750" s="41" t="n">
        <x:v>0.9349</x:v>
      </x:c>
      <x:c r="E750" s="41" t="n">
        <x:v>0.1058</x:v>
      </x:c>
      <x:c r="F750" s="48" t="str">
        <x:v>experiments/results/hcl/200/07.22-16.19.15/gen_apigraph_cnt200_001_warm_lr0.003_sgd_step_0.95_e250_adam_wlr0.00015_we100_test_2013-01_2018-12_cnt200.csv</x:v>
      </x:c>
    </x:row>
    <x:row r="751" ht="20" customHeight="1">
      <x:c r="A751" s="27" t="str">
        <x:v>HCL</x:v>
      </x:c>
      <x:c r="B751" s="30" t="str">
        <x:v>2015-03</x:v>
      </x:c>
      <x:c r="C751" s="40" t="n">
        <x:v>200</x:v>
      </x:c>
      <x:c r="D751" s="41" t="n">
        <x:v>0.9146</x:v>
      </x:c>
      <x:c r="E751" s="41" t="n">
        <x:v>0.1359</x:v>
      </x:c>
      <x:c r="F751" s="48" t="str">
        <x:v>experiments/results/hcl/200/07.22-16.19.15/gen_apigraph_cnt200_001_warm_lr0.003_sgd_step_0.95_e250_adam_wlr0.00015_we100_test_2013-01_2018-12_cnt200.csv</x:v>
      </x:c>
    </x:row>
    <x:row r="752" ht="20" customHeight="1">
      <x:c r="A752" s="27" t="str">
        <x:v>HCL</x:v>
      </x:c>
      <x:c r="B752" s="30" t="str">
        <x:v>2015-04</x:v>
      </x:c>
      <x:c r="C752" s="40" t="n">
        <x:v>200</x:v>
      </x:c>
      <x:c r="D752" s="41" t="n">
        <x:v>0.9422</x:v>
      </x:c>
      <x:c r="E752" s="41" t="n">
        <x:v>0.0921</x:v>
      </x:c>
      <x:c r="F752" s="48" t="str">
        <x:v>experiments/results/hcl/200/07.22-16.19.15/gen_apigraph_cnt200_001_warm_lr0.003_sgd_step_0.95_e250_adam_wlr0.00015_we100_test_2013-01_2018-12_cnt200.csv</x:v>
      </x:c>
    </x:row>
    <x:row r="753" ht="20" customHeight="1">
      <x:c r="A753" s="27" t="str">
        <x:v>HCL</x:v>
      </x:c>
      <x:c r="B753" s="30" t="str">
        <x:v>2015-05</x:v>
      </x:c>
      <x:c r="C753" s="40" t="n">
        <x:v>200</x:v>
      </x:c>
      <x:c r="D753" s="41" t="n">
        <x:v>0.9313</x:v>
      </x:c>
      <x:c r="E753" s="41" t="n">
        <x:v>0.1149</x:v>
      </x:c>
      <x:c r="F753" s="48" t="str">
        <x:v>experiments/results/hcl/200/07.22-16.19.15/gen_apigraph_cnt200_001_warm_lr0.003_sgd_step_0.95_e250_adam_wlr0.00015_we100_test_2013-01_2018-12_cnt200.csv</x:v>
      </x:c>
    </x:row>
    <x:row r="754" ht="20" customHeight="1">
      <x:c r="A754" s="27" t="str">
        <x:v>HCL</x:v>
      </x:c>
      <x:c r="B754" s="30" t="str">
        <x:v>2015-06</x:v>
      </x:c>
      <x:c r="C754" s="40" t="n">
        <x:v>200</x:v>
      </x:c>
      <x:c r="D754" s="41" t="n">
        <x:v>0.9296</x:v>
      </x:c>
      <x:c r="E754" s="41" t="n">
        <x:v>0.1182</x:v>
      </x:c>
      <x:c r="F754" s="48" t="str">
        <x:v>experiments/results/hcl/200/07.22-16.19.15/gen_apigraph_cnt200_001_warm_lr0.003_sgd_step_0.95_e250_adam_wlr0.00015_we100_test_2013-01_2018-12_cnt200.csv</x:v>
      </x:c>
    </x:row>
    <x:row r="755" ht="20" customHeight="1">
      <x:c r="A755" s="27" t="str">
        <x:v>HCL</x:v>
      </x:c>
      <x:c r="B755" s="30" t="str">
        <x:v>2015-07</x:v>
      </x:c>
      <x:c r="C755" s="40" t="n">
        <x:v>200</x:v>
      </x:c>
      <x:c r="D755" s="41" t="n">
        <x:v>0.9222</x:v>
      </x:c>
      <x:c r="E755" s="41" t="n">
        <x:v>0.13</x:v>
      </x:c>
      <x:c r="F755" s="48" t="str">
        <x:v>experiments/results/hcl/200/07.22-16.19.15/gen_apigraph_cnt200_001_warm_lr0.003_sgd_step_0.95_e250_adam_wlr0.00015_we100_test_2013-01_2018-12_cnt200.csv</x:v>
      </x:c>
    </x:row>
    <x:row r="756" ht="20" customHeight="1">
      <x:c r="A756" s="27" t="str">
        <x:v>HCL</x:v>
      </x:c>
      <x:c r="B756" s="30" t="str">
        <x:v>2015-08</x:v>
      </x:c>
      <x:c r="C756" s="40" t="n">
        <x:v>200</x:v>
      </x:c>
      <x:c r="D756" s="41" t="n">
        <x:v>0.944</x:v>
      </x:c>
      <x:c r="E756" s="41" t="n">
        <x:v>0.0915</x:v>
      </x:c>
      <x:c r="F756" s="48" t="str">
        <x:v>experiments/results/hcl/200/07.22-16.19.15/gen_apigraph_cnt200_001_warm_lr0.003_sgd_step_0.95_e250_adam_wlr0.00015_we100_test_2013-01_2018-12_cnt200.csv</x:v>
      </x:c>
    </x:row>
    <x:row r="757" ht="20" customHeight="1">
      <x:c r="A757" s="27" t="str">
        <x:v>HCL</x:v>
      </x:c>
      <x:c r="B757" s="30" t="str">
        <x:v>2015-09</x:v>
      </x:c>
      <x:c r="C757" s="40" t="n">
        <x:v>200</x:v>
      </x:c>
      <x:c r="D757" s="41" t="n">
        <x:v>0.8462</x:v>
      </x:c>
      <x:c r="E757" s="41" t="n">
        <x:v>0.2407</x:v>
      </x:c>
      <x:c r="F757" s="48" t="str">
        <x:v>experiments/results/hcl/200/07.22-16.19.15/gen_apigraph_cnt200_001_warm_lr0.003_sgd_step_0.95_e250_adam_wlr0.00015_we100_test_2013-01_2018-12_cnt200.csv</x:v>
      </x:c>
    </x:row>
    <x:row r="758" ht="20" customHeight="1">
      <x:c r="A758" s="27" t="str">
        <x:v>HCL</x:v>
      </x:c>
      <x:c r="B758" s="30" t="str">
        <x:v>2015-10</x:v>
      </x:c>
      <x:c r="C758" s="40" t="n">
        <x:v>200</x:v>
      </x:c>
      <x:c r="D758" s="41" t="n">
        <x:v>0.8227</x:v>
      </x:c>
      <x:c r="E758" s="41" t="n">
        <x:v>0.2821</x:v>
      </x:c>
      <x:c r="F758" s="48" t="str">
        <x:v>experiments/results/hcl/200/07.22-16.19.15/gen_apigraph_cnt200_001_warm_lr0.003_sgd_step_0.95_e250_adam_wlr0.00015_we100_test_2013-01_2018-12_cnt200.csv</x:v>
      </x:c>
    </x:row>
    <x:row r="759" ht="20" customHeight="1">
      <x:c r="A759" s="27" t="str">
        <x:v>HCL</x:v>
      </x:c>
      <x:c r="B759" s="30" t="str">
        <x:v>2015-11</x:v>
      </x:c>
      <x:c r="C759" s="40" t="n">
        <x:v>200</x:v>
      </x:c>
      <x:c r="D759" s="41" t="n">
        <x:v>0.8824</x:v>
      </x:c>
      <x:c r="E759" s="41" t="n">
        <x:v>0.1926</x:v>
      </x:c>
      <x:c r="F759" s="48" t="str">
        <x:v>experiments/results/hcl/200/07.22-16.19.15/gen_apigraph_cnt200_001_warm_lr0.003_sgd_step_0.95_e250_adam_wlr0.00015_we100_test_2013-01_2018-12_cnt200.csv</x:v>
      </x:c>
    </x:row>
    <x:row r="760" ht="20" customHeight="1">
      <x:c r="A760" s="27" t="str">
        <x:v>HCL</x:v>
      </x:c>
      <x:c r="B760" s="30" t="str">
        <x:v>2015-12</x:v>
      </x:c>
      <x:c r="C760" s="40" t="n">
        <x:v>200</x:v>
      </x:c>
      <x:c r="D760" s="41" t="n">
        <x:v>0.9232</x:v>
      </x:c>
      <x:c r="E760" s="41" t="n">
        <x:v>0.1247</x:v>
      </x:c>
      <x:c r="F760" s="48" t="str">
        <x:v>experiments/results/hcl/200/07.22-16.19.15/gen_apigraph_cnt200_001_warm_lr0.003_sgd_step_0.95_e250_adam_wlr0.00015_we100_test_2013-01_2018-12_cnt200.csv</x:v>
      </x:c>
    </x:row>
    <x:row r="761" ht="20" customHeight="1">
      <x:c r="A761" s="27" t="str">
        <x:v>HCL</x:v>
      </x:c>
      <x:c r="B761" s="30" t="str">
        <x:v>2016-01</x:v>
      </x:c>
      <x:c r="C761" s="40" t="n">
        <x:v>200</x:v>
      </x:c>
      <x:c r="D761" s="41" t="n">
        <x:v>0.914</x:v>
      </x:c>
      <x:c r="E761" s="41" t="n">
        <x:v>0.1468</x:v>
      </x:c>
      <x:c r="F761" s="48" t="str">
        <x:v>experiments/results/hcl/200/07.22-16.19.15/gen_apigraph_cnt200_001_warm_lr0.003_sgd_step_0.95_e250_adam_wlr0.00015_we100_test_2013-01_2018-12_cnt200.csv</x:v>
      </x:c>
    </x:row>
    <x:row r="762" ht="20" customHeight="1">
      <x:c r="A762" s="27" t="str">
        <x:v>HCL</x:v>
      </x:c>
      <x:c r="B762" s="30" t="str">
        <x:v>2016-02</x:v>
      </x:c>
      <x:c r="C762" s="40" t="n">
        <x:v>200</x:v>
      </x:c>
      <x:c r="D762" s="41" t="n">
        <x:v>0.9459</x:v>
      </x:c>
      <x:c r="E762" s="41" t="n">
        <x:v>0.0737</x:v>
      </x:c>
      <x:c r="F762" s="48" t="str">
        <x:v>experiments/results/hcl/200/07.22-16.19.15/gen_apigraph_cnt200_001_warm_lr0.003_sgd_step_0.95_e250_adam_wlr0.00015_we100_test_2013-01_2018-12_cnt200.csv</x:v>
      </x:c>
    </x:row>
    <x:row r="763" ht="20" customHeight="1">
      <x:c r="A763" s="27" t="str">
        <x:v>HCL</x:v>
      </x:c>
      <x:c r="B763" s="30" t="str">
        <x:v>2016-03</x:v>
      </x:c>
      <x:c r="C763" s="40" t="n">
        <x:v>200</x:v>
      </x:c>
      <x:c r="D763" s="41" t="n">
        <x:v>0.9324</x:v>
      </x:c>
      <x:c r="E763" s="41" t="n">
        <x:v>0.1015</x:v>
      </x:c>
      <x:c r="F763" s="48" t="str">
        <x:v>experiments/results/hcl/200/07.22-16.19.15/gen_apigraph_cnt200_001_warm_lr0.003_sgd_step_0.95_e250_adam_wlr0.00015_we100_test_2013-01_2018-12_cnt200.csv</x:v>
      </x:c>
    </x:row>
    <x:row r="764" ht="20" customHeight="1">
      <x:c r="A764" s="27" t="str">
        <x:v>HCL</x:v>
      </x:c>
      <x:c r="B764" s="30" t="str">
        <x:v>2016-04</x:v>
      </x:c>
      <x:c r="C764" s="40" t="n">
        <x:v>200</x:v>
      </x:c>
      <x:c r="D764" s="41" t="n">
        <x:v>0.9366</x:v>
      </x:c>
      <x:c r="E764" s="41" t="n">
        <x:v>0.0602</x:v>
      </x:c>
      <x:c r="F764" s="48" t="str">
        <x:v>experiments/results/hcl/200/07.22-16.19.15/gen_apigraph_cnt200_001_warm_lr0.003_sgd_step_0.95_e250_adam_wlr0.00015_we100_test_2013-01_2018-12_cnt200.csv</x:v>
      </x:c>
    </x:row>
    <x:row r="765" ht="20" customHeight="1">
      <x:c r="A765" s="27" t="str">
        <x:v>HCL</x:v>
      </x:c>
      <x:c r="B765" s="30" t="str">
        <x:v>2016-05</x:v>
      </x:c>
      <x:c r="C765" s="40" t="n">
        <x:v>200</x:v>
      </x:c>
      <x:c r="D765" s="41" t="n">
        <x:v>0.9497</x:v>
      </x:c>
      <x:c r="E765" s="41" t="n">
        <x:v>0.0692</x:v>
      </x:c>
      <x:c r="F765" s="48" t="str">
        <x:v>experiments/results/hcl/200/07.22-16.19.15/gen_apigraph_cnt200_001_warm_lr0.003_sgd_step_0.95_e250_adam_wlr0.00015_we100_test_2013-01_2018-12_cnt200.csv</x:v>
      </x:c>
    </x:row>
    <x:row r="766" ht="20" customHeight="1">
      <x:c r="A766" s="27" t="str">
        <x:v>HCL</x:v>
      </x:c>
      <x:c r="B766" s="30" t="str">
        <x:v>2016-06</x:v>
      </x:c>
      <x:c r="C766" s="40" t="n">
        <x:v>200</x:v>
      </x:c>
      <x:c r="D766" s="41" t="n">
        <x:v>0.9411</x:v>
      </x:c>
      <x:c r="E766" s="41" t="n">
        <x:v>0.0752</x:v>
      </x:c>
      <x:c r="F766" s="48" t="str">
        <x:v>experiments/results/hcl/200/07.22-16.19.15/gen_apigraph_cnt200_001_warm_lr0.003_sgd_step_0.95_e250_adam_wlr0.00015_we100_test_2013-01_2018-12_cnt200.csv</x:v>
      </x:c>
    </x:row>
    <x:row r="767" ht="20" customHeight="1">
      <x:c r="A767" s="27" t="str">
        <x:v>HCL</x:v>
      </x:c>
      <x:c r="B767" s="30" t="str">
        <x:v>2016-07</x:v>
      </x:c>
      <x:c r="C767" s="40" t="n">
        <x:v>200</x:v>
      </x:c>
      <x:c r="D767" s="41" t="n">
        <x:v>0.9232</x:v>
      </x:c>
      <x:c r="E767" s="41" t="n">
        <x:v>0.0998</x:v>
      </x:c>
      <x:c r="F767" s="48" t="str">
        <x:v>experiments/results/hcl/200/07.22-16.19.15/gen_apigraph_cnt200_001_warm_lr0.003_sgd_step_0.95_e250_adam_wlr0.00015_we100_test_2013-01_2018-12_cnt200.csv</x:v>
      </x:c>
    </x:row>
    <x:row r="768" ht="20" customHeight="1">
      <x:c r="A768" s="27" t="str">
        <x:v>HCL</x:v>
      </x:c>
      <x:c r="B768" s="30" t="str">
        <x:v>2016-08</x:v>
      </x:c>
      <x:c r="C768" s="40" t="n">
        <x:v>200</x:v>
      </x:c>
      <x:c r="D768" s="41" t="n">
        <x:v>0.9229</x:v>
      </x:c>
      <x:c r="E768" s="41" t="n">
        <x:v>0.0966</x:v>
      </x:c>
      <x:c r="F768" s="48" t="str">
        <x:v>experiments/results/hcl/200/07.22-16.19.15/gen_apigraph_cnt200_001_warm_lr0.003_sgd_step_0.95_e250_adam_wlr0.00015_we100_test_2013-01_2018-12_cnt200.csv</x:v>
      </x:c>
    </x:row>
    <x:row r="769" ht="20" customHeight="1">
      <x:c r="A769" s="27" t="str">
        <x:v>HCL</x:v>
      </x:c>
      <x:c r="B769" s="30" t="str">
        <x:v>2016-09</x:v>
      </x:c>
      <x:c r="C769" s="40" t="n">
        <x:v>200</x:v>
      </x:c>
      <x:c r="D769" s="41" t="n">
        <x:v>0.9461</x:v>
      </x:c>
      <x:c r="E769" s="41" t="n">
        <x:v>0.0751</x:v>
      </x:c>
      <x:c r="F769" s="48" t="str">
        <x:v>experiments/results/hcl/200/07.22-16.19.15/gen_apigraph_cnt200_001_warm_lr0.003_sgd_step_0.95_e250_adam_wlr0.00015_we100_test_2013-01_2018-12_cnt200.csv</x:v>
      </x:c>
    </x:row>
    <x:row r="770" ht="20" customHeight="1">
      <x:c r="A770" s="27" t="str">
        <x:v>HCL</x:v>
      </x:c>
      <x:c r="B770" s="30" t="str">
        <x:v>2016-10</x:v>
      </x:c>
      <x:c r="C770" s="40" t="n">
        <x:v>200</x:v>
      </x:c>
      <x:c r="D770" s="41" t="n">
        <x:v>0.9126</x:v>
      </x:c>
      <x:c r="E770" s="41" t="n">
        <x:v>0.0447</x:v>
      </x:c>
      <x:c r="F770" s="48" t="str">
        <x:v>experiments/results/hcl/200/07.22-16.19.15/gen_apigraph_cnt200_001_warm_lr0.003_sgd_step_0.95_e250_adam_wlr0.00015_we100_test_2013-01_2018-12_cnt200.csv</x:v>
      </x:c>
    </x:row>
    <x:row r="771" ht="20" customHeight="1">
      <x:c r="A771" s="27" t="str">
        <x:v>HCL</x:v>
      </x:c>
      <x:c r="B771" s="30" t="str">
        <x:v>2016-11</x:v>
      </x:c>
      <x:c r="C771" s="40" t="n">
        <x:v>200</x:v>
      </x:c>
      <x:c r="D771" s="41" t="n">
        <x:v>0.9154</x:v>
      </x:c>
      <x:c r="E771" s="41" t="n">
        <x:v>0.0818</x:v>
      </x:c>
      <x:c r="F771" s="48" t="str">
        <x:v>experiments/results/hcl/200/07.22-16.19.15/gen_apigraph_cnt200_001_warm_lr0.003_sgd_step_0.95_e250_adam_wlr0.00015_we100_test_2013-01_2018-12_cnt200.csv</x:v>
      </x:c>
    </x:row>
    <x:row r="772" ht="20" customHeight="1">
      <x:c r="A772" s="27" t="str">
        <x:v>HCL</x:v>
      </x:c>
      <x:c r="B772" s="30" t="str">
        <x:v>2016-12</x:v>
      </x:c>
      <x:c r="C772" s="40" t="n">
        <x:v>200</x:v>
      </x:c>
      <x:c r="D772" s="41" t="n">
        <x:v>0.8697</x:v>
      </x:c>
      <x:c r="E772" s="41" t="n">
        <x:v>0.1954</x:v>
      </x:c>
      <x:c r="F772" s="48" t="str">
        <x:v>experiments/results/hcl/200/07.22-16.19.15/gen_apigraph_cnt200_001_warm_lr0.003_sgd_step_0.95_e250_adam_wlr0.00015_we100_test_2013-01_2018-12_cnt200.csv</x:v>
      </x:c>
    </x:row>
    <x:row r="773" ht="20" customHeight="1">
      <x:c r="A773" s="27" t="str">
        <x:v>HCL</x:v>
      </x:c>
      <x:c r="B773" s="30" t="str">
        <x:v>2017-01</x:v>
      </x:c>
      <x:c r="C773" s="40" t="n">
        <x:v>200</x:v>
      </x:c>
      <x:c r="D773" s="41" t="n">
        <x:v>0.91</x:v>
      </x:c>
      <x:c r="E773" s="41" t="n">
        <x:v>0.1</x:v>
      </x:c>
      <x:c r="F773" s="48" t="str">
        <x:v>experiments/results/hcl/200/07.22-16.19.15/gen_apigraph_cnt200_001_warm_lr0.003_sgd_step_0.95_e250_adam_wlr0.00015_we100_test_2013-01_2018-12_cnt200.csv</x:v>
      </x:c>
    </x:row>
    <x:row r="774" ht="20" customHeight="1">
      <x:c r="A774" s="27" t="str">
        <x:v>HCL</x:v>
      </x:c>
      <x:c r="B774" s="30" t="str">
        <x:v>2017-02</x:v>
      </x:c>
      <x:c r="C774" s="40" t="n">
        <x:v>200</x:v>
      </x:c>
      <x:c r="D774" s="41" t="n">
        <x:v>0.9529</x:v>
      </x:c>
      <x:c r="E774" s="41" t="n">
        <x:v>0.0652</x:v>
      </x:c>
      <x:c r="F774" s="48" t="str">
        <x:v>experiments/results/hcl/200/07.22-16.19.15/gen_apigraph_cnt200_001_warm_lr0.003_sgd_step_0.95_e250_adam_wlr0.00015_we100_test_2013-01_2018-12_cnt200.csv</x:v>
      </x:c>
    </x:row>
    <x:row r="775" ht="20" customHeight="1">
      <x:c r="A775" s="27" t="str">
        <x:v>HCL</x:v>
      </x:c>
      <x:c r="B775" s="30" t="str">
        <x:v>2017-03</x:v>
      </x:c>
      <x:c r="C775" s="40" t="n">
        <x:v>200</x:v>
      </x:c>
      <x:c r="D775" s="41" t="n">
        <x:v>0.9091</x:v>
      </x:c>
      <x:c r="E775" s="41" t="n">
        <x:v>0.0813</x:v>
      </x:c>
      <x:c r="F775" s="48" t="str">
        <x:v>experiments/results/hcl/200/07.22-16.19.15/gen_apigraph_cnt200_001_warm_lr0.003_sgd_step_0.95_e250_adam_wlr0.00015_we100_test_2013-01_2018-12_cnt200.csv</x:v>
      </x:c>
    </x:row>
    <x:row r="776" ht="20" customHeight="1">
      <x:c r="A776" s="27" t="str">
        <x:v>HCL</x:v>
      </x:c>
      <x:c r="B776" s="30" t="str">
        <x:v>2017-04</x:v>
      </x:c>
      <x:c r="C776" s="40" t="n">
        <x:v>200</x:v>
      </x:c>
      <x:c r="D776" s="41" t="n">
        <x:v>0.8797</x:v>
      </x:c>
      <x:c r="E776" s="41" t="n">
        <x:v>0.1742</x:v>
      </x:c>
      <x:c r="F776" s="48" t="str">
        <x:v>experiments/results/hcl/200/07.22-16.19.15/gen_apigraph_cnt200_001_warm_lr0.003_sgd_step_0.95_e250_adam_wlr0.00015_we100_test_2013-01_2018-12_cnt200.csv</x:v>
      </x:c>
    </x:row>
    <x:row r="777" ht="20" customHeight="1">
      <x:c r="A777" s="27" t="str">
        <x:v>HCL</x:v>
      </x:c>
      <x:c r="B777" s="30" t="str">
        <x:v>2017-05</x:v>
      </x:c>
      <x:c r="C777" s="40" t="n">
        <x:v>200</x:v>
      </x:c>
      <x:c r="D777" s="41" t="n">
        <x:v>0.8995</x:v>
      </x:c>
      <x:c r="E777" s="41" t="n">
        <x:v>0.1414</x:v>
      </x:c>
      <x:c r="F777" s="48" t="str">
        <x:v>experiments/results/hcl/200/07.22-16.19.15/gen_apigraph_cnt200_001_warm_lr0.003_sgd_step_0.95_e250_adam_wlr0.00015_we100_test_2013-01_2018-12_cnt200.csv</x:v>
      </x:c>
    </x:row>
    <x:row r="778" ht="20" customHeight="1">
      <x:c r="A778" s="27" t="str">
        <x:v>HCL</x:v>
      </x:c>
      <x:c r="B778" s="30" t="str">
        <x:v>2017-06</x:v>
      </x:c>
      <x:c r="C778" s="40" t="n">
        <x:v>200</x:v>
      </x:c>
      <x:c r="D778" s="41" t="n">
        <x:v>0.905</x:v>
      </x:c>
      <x:c r="E778" s="41" t="n">
        <x:v>0.115</x:v>
      </x:c>
      <x:c r="F778" s="48" t="str">
        <x:v>experiments/results/hcl/200/07.22-16.19.15/gen_apigraph_cnt200_001_warm_lr0.003_sgd_step_0.95_e250_adam_wlr0.00015_we100_test_2013-01_2018-12_cnt200.csv</x:v>
      </x:c>
    </x:row>
    <x:row r="779" ht="20" customHeight="1">
      <x:c r="A779" s="27" t="str">
        <x:v>HCL</x:v>
      </x:c>
      <x:c r="B779" s="30" t="str">
        <x:v>2017-07</x:v>
      </x:c>
      <x:c r="C779" s="40" t="n">
        <x:v>200</x:v>
      </x:c>
      <x:c r="D779" s="41" t="n">
        <x:v>0.8527</x:v>
      </x:c>
      <x:c r="E779" s="41" t="n">
        <x:v>0.1176</x:v>
      </x:c>
      <x:c r="F779" s="48" t="str">
        <x:v>experiments/results/hcl/200/07.22-16.19.15/gen_apigraph_cnt200_001_warm_lr0.003_sgd_step_0.95_e250_adam_wlr0.00015_we100_test_2013-01_2018-12_cnt200.csv</x:v>
      </x:c>
    </x:row>
    <x:row r="780" ht="20" customHeight="1">
      <x:c r="A780" s="27" t="str">
        <x:v>HCL</x:v>
      </x:c>
      <x:c r="B780" s="30" t="str">
        <x:v>2017-08</x:v>
      </x:c>
      <x:c r="C780" s="40" t="n">
        <x:v>200</x:v>
      </x:c>
      <x:c r="D780" s="41" t="n">
        <x:v>0.9511</x:v>
      </x:c>
      <x:c r="E780" s="41" t="n">
        <x:v>0.0473</x:v>
      </x:c>
      <x:c r="F780" s="48" t="str">
        <x:v>experiments/results/hcl/200/07.22-16.19.15/gen_apigraph_cnt200_001_warm_lr0.003_sgd_step_0.95_e250_adam_wlr0.00015_we100_test_2013-01_2018-12_cnt200.csv</x:v>
      </x:c>
    </x:row>
    <x:row r="781" ht="20" customHeight="1">
      <x:c r="A781" s="27" t="str">
        <x:v>HCL</x:v>
      </x:c>
      <x:c r="B781" s="30" t="str">
        <x:v>2017-09</x:v>
      </x:c>
      <x:c r="C781" s="40" t="n">
        <x:v>200</x:v>
      </x:c>
      <x:c r="D781" s="41" t="n">
        <x:v>0.9292</x:v>
      </x:c>
      <x:c r="E781" s="41" t="n">
        <x:v>0.0382</x:v>
      </x:c>
      <x:c r="F781" s="48" t="str">
        <x:v>experiments/results/hcl/200/07.22-16.19.15/gen_apigraph_cnt200_001_warm_lr0.003_sgd_step_0.95_e250_adam_wlr0.00015_we100_test_2013-01_2018-12_cnt200.csv</x:v>
      </x:c>
    </x:row>
    <x:row r="782" ht="20" customHeight="1">
      <x:c r="A782" s="27" t="str">
        <x:v>HCL</x:v>
      </x:c>
      <x:c r="B782" s="30" t="str">
        <x:v>2017-10</x:v>
      </x:c>
      <x:c r="C782" s="40" t="n">
        <x:v>200</x:v>
      </x:c>
      <x:c r="D782" s="41" t="n">
        <x:v>0.9217</x:v>
      </x:c>
      <x:c r="E782" s="41" t="n">
        <x:v>0.095</x:v>
      </x:c>
      <x:c r="F782" s="48" t="str">
        <x:v>experiments/results/hcl/200/07.22-16.19.15/gen_apigraph_cnt200_001_warm_lr0.003_sgd_step_0.95_e250_adam_wlr0.00015_we100_test_2013-01_2018-12_cnt200.csv</x:v>
      </x:c>
    </x:row>
    <x:row r="783" ht="20" customHeight="1">
      <x:c r="A783" s="27" t="str">
        <x:v>HCL</x:v>
      </x:c>
      <x:c r="B783" s="30" t="str">
        <x:v>2017-11</x:v>
      </x:c>
      <x:c r="C783" s="40" t="n">
        <x:v>200</x:v>
      </x:c>
      <x:c r="D783" s="41" t="n">
        <x:v>0.9263</x:v>
      </x:c>
      <x:c r="E783" s="41" t="n">
        <x:v>0.0435</x:v>
      </x:c>
      <x:c r="F783" s="48" t="str">
        <x:v>experiments/results/hcl/200/07.22-16.19.15/gen_apigraph_cnt200_001_warm_lr0.003_sgd_step_0.95_e250_adam_wlr0.00015_we100_test_2013-01_2018-12_cnt200.csv</x:v>
      </x:c>
    </x:row>
    <x:row r="784" ht="20" customHeight="1">
      <x:c r="A784" s="27" t="str">
        <x:v>HCL</x:v>
      </x:c>
      <x:c r="B784" s="30" t="str">
        <x:v>2017-12</x:v>
      </x:c>
      <x:c r="C784" s="40" t="n">
        <x:v>200</x:v>
      </x:c>
      <x:c r="D784" s="41" t="n">
        <x:v>0.9195</x:v>
      </x:c>
      <x:c r="E784" s="41" t="n">
        <x:v>0.04</x:v>
      </x:c>
      <x:c r="F784" s="48" t="str">
        <x:v>experiments/results/hcl/200/07.22-16.19.15/gen_apigraph_cnt200_001_warm_lr0.003_sgd_step_0.95_e250_adam_wlr0.00015_we100_test_2013-01_2018-12_cnt200.csv</x:v>
      </x:c>
    </x:row>
    <x:row r="785" ht="20" customHeight="1">
      <x:c r="A785" s="27" t="str">
        <x:v>HCL</x:v>
      </x:c>
      <x:c r="B785" s="30" t="str">
        <x:v>2018-01</x:v>
      </x:c>
      <x:c r="C785" s="40" t="n">
        <x:v>200</x:v>
      </x:c>
      <x:c r="D785" s="41" t="n">
        <x:v>0.9048</x:v>
      </x:c>
      <x:c r="E785" s="41" t="n">
        <x:v>0.1307</x:v>
      </x:c>
      <x:c r="F785" s="48" t="str">
        <x:v>experiments/results/hcl/200/07.22-16.19.15/gen_apigraph_cnt200_001_warm_lr0.003_sgd_step_0.95_e250_adam_wlr0.00015_we100_test_2013-01_2018-12_cnt200.csv</x:v>
      </x:c>
    </x:row>
    <x:row r="786" ht="20" customHeight="1">
      <x:c r="A786" s="27" t="str">
        <x:v>HCL</x:v>
      </x:c>
      <x:c r="B786" s="30" t="str">
        <x:v>2018-02</x:v>
      </x:c>
      <x:c r="C786" s="40" t="n">
        <x:v>200</x:v>
      </x:c>
      <x:c r="D786" s="41" t="n">
        <x:v>0.9117</x:v>
      </x:c>
      <x:c r="E786" s="41" t="n">
        <x:v>0.1103</x:v>
      </x:c>
      <x:c r="F786" s="48" t="str">
        <x:v>experiments/results/hcl/200/07.22-16.19.15/gen_apigraph_cnt200_001_warm_lr0.003_sgd_step_0.95_e250_adam_wlr0.00015_we100_test_2013-01_2018-12_cnt200.csv</x:v>
      </x:c>
    </x:row>
    <x:row r="787" ht="20" customHeight="1">
      <x:c r="A787" s="27" t="str">
        <x:v>HCL</x:v>
      </x:c>
      <x:c r="B787" s="30" t="str">
        <x:v>2018-03</x:v>
      </x:c>
      <x:c r="C787" s="40" t="n">
        <x:v>200</x:v>
      </x:c>
      <x:c r="D787" s="41" t="n">
        <x:v>0.915</x:v>
      </x:c>
      <x:c r="E787" s="41" t="n">
        <x:v>0.0766</x:v>
      </x:c>
      <x:c r="F787" s="48" t="str">
        <x:v>experiments/results/hcl/200/07.22-16.19.15/gen_apigraph_cnt200_001_warm_lr0.003_sgd_step_0.95_e250_adam_wlr0.00015_we100_test_2013-01_2018-12_cnt200.csv</x:v>
      </x:c>
    </x:row>
    <x:row r="788" ht="20" customHeight="1">
      <x:c r="A788" s="27" t="str">
        <x:v>HCL</x:v>
      </x:c>
      <x:c r="B788" s="30" t="str">
        <x:v>2018-04</x:v>
      </x:c>
      <x:c r="C788" s="40" t="n">
        <x:v>200</x:v>
      </x:c>
      <x:c r="D788" s="41" t="n">
        <x:v>0.93</x:v>
      </x:c>
      <x:c r="E788" s="41" t="n">
        <x:v>0.0783</x:v>
      </x:c>
      <x:c r="F788" s="48" t="str">
        <x:v>experiments/results/hcl/200/07.22-16.19.15/gen_apigraph_cnt200_001_warm_lr0.003_sgd_step_0.95_e250_adam_wlr0.00015_we100_test_2013-01_2018-12_cnt200.csv</x:v>
      </x:c>
    </x:row>
    <x:row r="789" ht="20" customHeight="1">
      <x:c r="A789" s="27" t="str">
        <x:v>HCL</x:v>
      </x:c>
      <x:c r="B789" s="30" t="str">
        <x:v>2018-05</x:v>
      </x:c>
      <x:c r="C789" s="40" t="n">
        <x:v>200</x:v>
      </x:c>
      <x:c r="D789" s="41" t="n">
        <x:v>0.9102</x:v>
      </x:c>
      <x:c r="E789" s="41" t="n">
        <x:v>0.0785</x:v>
      </x:c>
      <x:c r="F789" s="48" t="str">
        <x:v>experiments/results/hcl/200/07.22-16.19.15/gen_apigraph_cnt200_001_warm_lr0.003_sgd_step_0.95_e250_adam_wlr0.00015_we100_test_2013-01_2018-12_cnt200.csv</x:v>
      </x:c>
    </x:row>
    <x:row r="790" ht="20" customHeight="1">
      <x:c r="A790" s="27" t="str">
        <x:v>HCL</x:v>
      </x:c>
      <x:c r="B790" s="30" t="str">
        <x:v>2018-06</x:v>
      </x:c>
      <x:c r="C790" s="40" t="n">
        <x:v>200</x:v>
      </x:c>
      <x:c r="D790" s="41" t="n">
        <x:v>0.8881</x:v>
      </x:c>
      <x:c r="E790" s="41" t="n">
        <x:v>0.1946</x:v>
      </x:c>
      <x:c r="F790" s="48" t="str">
        <x:v>experiments/results/hcl/200/07.22-16.19.15/gen_apigraph_cnt200_001_warm_lr0.003_sgd_step_0.95_e250_adam_wlr0.00015_we100_test_2013-01_2018-12_cnt200.csv</x:v>
      </x:c>
    </x:row>
    <x:row r="791" ht="20" customHeight="1">
      <x:c r="A791" s="27" t="str">
        <x:v>HCL</x:v>
      </x:c>
      <x:c r="B791" s="30" t="str">
        <x:v>2018-07</x:v>
      </x:c>
      <x:c r="C791" s="40" t="n">
        <x:v>200</x:v>
      </x:c>
      <x:c r="D791" s="41" t="n">
        <x:v>0.9148</x:v>
      </x:c>
      <x:c r="E791" s="41" t="n">
        <x:v>0.1311</x:v>
      </x:c>
      <x:c r="F791" s="48" t="str">
        <x:v>experiments/results/hcl/200/07.22-16.19.15/gen_apigraph_cnt200_001_warm_lr0.003_sgd_step_0.95_e250_adam_wlr0.00015_we100_test_2013-01_2018-12_cnt200.csv</x:v>
      </x:c>
    </x:row>
    <x:row r="792" ht="20" customHeight="1">
      <x:c r="A792" s="27" t="str">
        <x:v>HCL</x:v>
      </x:c>
      <x:c r="B792" s="30" t="str">
        <x:v>2018-08</x:v>
      </x:c>
      <x:c r="C792" s="40" t="n">
        <x:v>200</x:v>
      </x:c>
      <x:c r="D792" s="41" t="n">
        <x:v>0.9209</x:v>
      </x:c>
      <x:c r="E792" s="41" t="n">
        <x:v>0.1203</x:v>
      </x:c>
      <x:c r="F792" s="48" t="str">
        <x:v>experiments/results/hcl/200/07.22-16.19.15/gen_apigraph_cnt200_001_warm_lr0.003_sgd_step_0.95_e250_adam_wlr0.00015_we100_test_2013-01_2018-12_cnt200.csv</x:v>
      </x:c>
    </x:row>
    <x:row r="793" ht="20" customHeight="1">
      <x:c r="A793" s="27" t="str">
        <x:v>HCL</x:v>
      </x:c>
      <x:c r="B793" s="30" t="str">
        <x:v>2018-09</x:v>
      </x:c>
      <x:c r="C793" s="40" t="n">
        <x:v>200</x:v>
      </x:c>
      <x:c r="D793" s="41" t="n">
        <x:v>0.8629</x:v>
      </x:c>
      <x:c r="E793" s="41" t="n">
        <x:v>0.2031</x:v>
      </x:c>
      <x:c r="F793" s="48" t="str">
        <x:v>experiments/results/hcl/200/07.22-16.19.15/gen_apigraph_cnt200_001_warm_lr0.003_sgd_step_0.95_e250_adam_wlr0.00015_we100_test_2013-01_2018-12_cnt200.csv</x:v>
      </x:c>
    </x:row>
    <x:row r="794" ht="20" customHeight="1">
      <x:c r="A794" s="27" t="str">
        <x:v>HCL</x:v>
      </x:c>
      <x:c r="B794" s="30" t="str">
        <x:v>2018-10</x:v>
      </x:c>
      <x:c r="C794" s="40" t="n">
        <x:v>200</x:v>
      </x:c>
      <x:c r="D794" s="41" t="n">
        <x:v>0.894</x:v>
      </x:c>
      <x:c r="E794" s="41" t="n">
        <x:v>0.1704</x:v>
      </x:c>
      <x:c r="F794" s="48" t="str">
        <x:v>experiments/results/hcl/200/07.22-16.19.15/gen_apigraph_cnt200_001_warm_lr0.003_sgd_step_0.95_e250_adam_wlr0.00015_we100_test_2013-01_2018-12_cnt200.csv</x:v>
      </x:c>
    </x:row>
    <x:row r="795" ht="20" customHeight="1">
      <x:c r="A795" s="27" t="str">
        <x:v>HCL</x:v>
      </x:c>
      <x:c r="B795" s="30" t="str">
        <x:v>2018-11</x:v>
      </x:c>
      <x:c r="C795" s="40" t="n">
        <x:v>200</x:v>
      </x:c>
      <x:c r="D795" s="41" t="n">
        <x:v>0.9664</x:v>
      </x:c>
      <x:c r="E795" s="41" t="n">
        <x:v>0.0488</x:v>
      </x:c>
      <x:c r="F795" s="48" t="str">
        <x:v>experiments/results/hcl/200/07.22-16.19.15/gen_apigraph_cnt200_001_warm_lr0.003_sgd_step_0.95_e250_adam_wlr0.00015_we100_test_2013-01_2018-12_cnt200.csv</x:v>
      </x:c>
    </x:row>
    <x:row r="796" ht="20" customHeight="1">
      <x:c r="A796" s="27" t="str">
        <x:v>HCL</x:v>
      </x:c>
      <x:c r="B796" s="30" t="str">
        <x:v>2018-12</x:v>
      </x:c>
      <x:c r="C796" s="40" t="n">
        <x:v>200</x:v>
      </x:c>
      <x:c r="D796" s="41" t="n">
        <x:v>0.972</x:v>
      </x:c>
      <x:c r="E796" s="41" t="n">
        <x:v>0.0104</x:v>
      </x:c>
      <x:c r="F796" s="48" t="str">
        <x:v>experiments/results/hcl/200/07.22-16.19.15/gen_apigraph_cnt200_001_warm_lr0.003_sgd_step_0.95_e250_adam_wlr0.00015_we100_test_2013-01_2018-12_cnt200.csv</x:v>
      </x:c>
    </x:row>
    <x:row r="797" ht="20" customHeight="1">
      <x:c r="A797" s="27" t="str">
        <x:v>HCL</x:v>
      </x:c>
      <x:c r="B797" s="30" t="str">
        <x:v>2013-01</x:v>
      </x:c>
      <x:c r="C797" s="40" t="n">
        <x:v>300</x:v>
      </x:c>
      <x:c r="D797" s="41" t="n">
        <x:v>0.9558</x:v>
      </x:c>
      <x:c r="E797" s="41" t="n">
        <x:v>0.026</x:v>
      </x:c>
      <x:c r="F797" s="48" t="str">
        <x:v>experiments/results/hcl/300/07.22-17.19.40/gen_apigraph_cnt300_001_warm_lr0.003_sgd_step_0.95_e250_adam_wlr0.00015_we100_test_2013-01_2018-12_cnt300.csv</x:v>
      </x:c>
    </x:row>
    <x:row r="798" ht="20" customHeight="1">
      <x:c r="A798" s="27" t="str">
        <x:v>HCL</x:v>
      </x:c>
      <x:c r="B798" s="30" t="str">
        <x:v>2013-02</x:v>
      </x:c>
      <x:c r="C798" s="40" t="n">
        <x:v>300</x:v>
      </x:c>
      <x:c r="D798" s="41" t="n">
        <x:v>0.9052</x:v>
      </x:c>
      <x:c r="E798" s="41" t="n">
        <x:v>0.1344</x:v>
      </x:c>
      <x:c r="F798" s="48" t="str">
        <x:v>experiments/results/hcl/300/07.22-17.19.40/gen_apigraph_cnt300_001_warm_lr0.003_sgd_step_0.95_e250_adam_wlr0.00015_we100_test_2013-01_2018-12_cnt300.csv</x:v>
      </x:c>
    </x:row>
    <x:row r="799" ht="20" customHeight="1">
      <x:c r="A799" s="27" t="str">
        <x:v>HCL</x:v>
      </x:c>
      <x:c r="B799" s="30" t="str">
        <x:v>2013-03</x:v>
      </x:c>
      <x:c r="C799" s="40" t="n">
        <x:v>300</x:v>
      </x:c>
      <x:c r="D799" s="41" t="n">
        <x:v>0.9094</x:v>
      </x:c>
      <x:c r="E799" s="41" t="n">
        <x:v>0.1068</x:v>
      </x:c>
      <x:c r="F799" s="48" t="str">
        <x:v>experiments/results/hcl/300/07.22-17.19.40/gen_apigraph_cnt300_001_warm_lr0.003_sgd_step_0.95_e250_adam_wlr0.00015_we100_test_2013-01_2018-12_cnt300.csv</x:v>
      </x:c>
    </x:row>
    <x:row r="800" ht="20" customHeight="1">
      <x:c r="A800" s="27" t="str">
        <x:v>HCL</x:v>
      </x:c>
      <x:c r="B800" s="30" t="str">
        <x:v>2013-04</x:v>
      </x:c>
      <x:c r="C800" s="40" t="n">
        <x:v>300</x:v>
      </x:c>
      <x:c r="D800" s="41" t="n">
        <x:v>0.9365</x:v>
      </x:c>
      <x:c r="E800" s="41" t="n">
        <x:v>0.09</x:v>
      </x:c>
      <x:c r="F800" s="48" t="str">
        <x:v>experiments/results/hcl/300/07.22-17.19.40/gen_apigraph_cnt300_001_warm_lr0.003_sgd_step_0.95_e250_adam_wlr0.00015_we100_test_2013-01_2018-12_cnt300.csv</x:v>
      </x:c>
    </x:row>
    <x:row r="801" ht="20" customHeight="1">
      <x:c r="A801" s="27" t="str">
        <x:v>HCL</x:v>
      </x:c>
      <x:c r="B801" s="30" t="str">
        <x:v>2013-05</x:v>
      </x:c>
      <x:c r="C801" s="40" t="n">
        <x:v>300</x:v>
      </x:c>
      <x:c r="D801" s="41" t="n">
        <x:v>0.9239</x:v>
      </x:c>
      <x:c r="E801" s="41" t="n">
        <x:v>0.1183</x:v>
      </x:c>
      <x:c r="F801" s="48" t="str">
        <x:v>experiments/results/hcl/300/07.22-17.19.40/gen_apigraph_cnt300_001_warm_lr0.003_sgd_step_0.95_e250_adam_wlr0.00015_we100_test_2013-01_2018-12_cnt300.csv</x:v>
      </x:c>
    </x:row>
    <x:row r="802" ht="20" customHeight="1">
      <x:c r="A802" s="27" t="str">
        <x:v>HCL</x:v>
      </x:c>
      <x:c r="B802" s="30" t="str">
        <x:v>2013-06</x:v>
      </x:c>
      <x:c r="C802" s="40" t="n">
        <x:v>300</x:v>
      </x:c>
      <x:c r="D802" s="41" t="n">
        <x:v>0.9309</x:v>
      </x:c>
      <x:c r="E802" s="41" t="n">
        <x:v>0.0828</x:v>
      </x:c>
      <x:c r="F802" s="48" t="str">
        <x:v>experiments/results/hcl/300/07.22-17.19.40/gen_apigraph_cnt300_001_warm_lr0.003_sgd_step_0.95_e250_adam_wlr0.00015_we100_test_2013-01_2018-12_cnt300.csv</x:v>
      </x:c>
    </x:row>
    <x:row r="803" ht="20" customHeight="1">
      <x:c r="A803" s="27" t="str">
        <x:v>HCL</x:v>
      </x:c>
      <x:c r="B803" s="30" t="str">
        <x:v>2013-07</x:v>
      </x:c>
      <x:c r="C803" s="40" t="n">
        <x:v>300</x:v>
      </x:c>
      <x:c r="D803" s="41" t="n">
        <x:v>0.9478</x:v>
      </x:c>
      <x:c r="E803" s="41" t="n">
        <x:v>0.0672</x:v>
      </x:c>
      <x:c r="F803" s="48" t="str">
        <x:v>experiments/results/hcl/300/07.22-17.19.40/gen_apigraph_cnt300_001_warm_lr0.003_sgd_step_0.95_e250_adam_wlr0.00015_we100_test_2013-01_2018-12_cnt300.csv</x:v>
      </x:c>
    </x:row>
    <x:row r="804" ht="20" customHeight="1">
      <x:c r="A804" s="27" t="str">
        <x:v>HCL</x:v>
      </x:c>
      <x:c r="B804" s="30" t="str">
        <x:v>2013-08</x:v>
      </x:c>
      <x:c r="C804" s="40" t="n">
        <x:v>300</x:v>
      </x:c>
      <x:c r="D804" s="41" t="n">
        <x:v>0.9356</x:v>
      </x:c>
      <x:c r="E804" s="41" t="n">
        <x:v>0.0992</x:v>
      </x:c>
      <x:c r="F804" s="48" t="str">
        <x:v>experiments/results/hcl/300/07.22-17.19.40/gen_apigraph_cnt300_001_warm_lr0.003_sgd_step_0.95_e250_adam_wlr0.00015_we100_test_2013-01_2018-12_cnt300.csv</x:v>
      </x:c>
    </x:row>
    <x:row r="805" ht="20" customHeight="1">
      <x:c r="A805" s="27" t="str">
        <x:v>HCL</x:v>
      </x:c>
      <x:c r="B805" s="30" t="str">
        <x:v>2013-09</x:v>
      </x:c>
      <x:c r="C805" s="40" t="n">
        <x:v>300</x:v>
      </x:c>
      <x:c r="D805" s="41" t="n">
        <x:v>0.9033</x:v>
      </x:c>
      <x:c r="E805" s="41" t="n">
        <x:v>0.122</x:v>
      </x:c>
      <x:c r="F805" s="48" t="str">
        <x:v>experiments/results/hcl/300/07.22-17.19.40/gen_apigraph_cnt300_001_warm_lr0.003_sgd_step_0.95_e250_adam_wlr0.00015_we100_test_2013-01_2018-12_cnt300.csv</x:v>
      </x:c>
    </x:row>
    <x:row r="806" ht="20" customHeight="1">
      <x:c r="A806" s="27" t="str">
        <x:v>HCL</x:v>
      </x:c>
      <x:c r="B806" s="30" t="str">
        <x:v>2013-10</x:v>
      </x:c>
      <x:c r="C806" s="40" t="n">
        <x:v>300</x:v>
      </x:c>
      <x:c r="D806" s="41" t="n">
        <x:v>0.8871</x:v>
      </x:c>
      <x:c r="E806" s="41" t="n">
        <x:v>0.1022</x:v>
      </x:c>
      <x:c r="F806" s="48" t="str">
        <x:v>experiments/results/hcl/300/07.22-17.19.40/gen_apigraph_cnt300_001_warm_lr0.003_sgd_step_0.95_e250_adam_wlr0.00015_we100_test_2013-01_2018-12_cnt300.csv</x:v>
      </x:c>
    </x:row>
    <x:row r="807" ht="20" customHeight="1">
      <x:c r="A807" s="27" t="str">
        <x:v>HCL</x:v>
      </x:c>
      <x:c r="B807" s="30" t="str">
        <x:v>2013-11</x:v>
      </x:c>
      <x:c r="C807" s="40" t="n">
        <x:v>300</x:v>
      </x:c>
      <x:c r="D807" s="41" t="n">
        <x:v>0.9133</x:v>
      </x:c>
      <x:c r="E807" s="41" t="n">
        <x:v>0.1172</x:v>
      </x:c>
      <x:c r="F807" s="48" t="str">
        <x:v>experiments/results/hcl/300/07.22-17.19.40/gen_apigraph_cnt300_001_warm_lr0.003_sgd_step_0.95_e250_adam_wlr0.00015_we100_test_2013-01_2018-12_cnt300.csv</x:v>
      </x:c>
    </x:row>
    <x:row r="808" ht="20" customHeight="1">
      <x:c r="A808" s="27" t="str">
        <x:v>HCL</x:v>
      </x:c>
      <x:c r="B808" s="30" t="str">
        <x:v>2013-12</x:v>
      </x:c>
      <x:c r="C808" s="40" t="n">
        <x:v>300</x:v>
      </x:c>
      <x:c r="D808" s="41" t="n">
        <x:v>0.9451</x:v>
      </x:c>
      <x:c r="E808" s="41" t="n">
        <x:v>0.0862</x:v>
      </x:c>
      <x:c r="F808" s="48" t="str">
        <x:v>experiments/results/hcl/300/07.22-17.19.40/gen_apigraph_cnt300_001_warm_lr0.003_sgd_step_0.95_e250_adam_wlr0.00015_we100_test_2013-01_2018-12_cnt300.csv</x:v>
      </x:c>
    </x:row>
    <x:row r="809" ht="20" customHeight="1">
      <x:c r="A809" s="27" t="str">
        <x:v>HCL</x:v>
      </x:c>
      <x:c r="B809" s="30" t="str">
        <x:v>2014-01</x:v>
      </x:c>
      <x:c r="C809" s="40" t="n">
        <x:v>300</x:v>
      </x:c>
      <x:c r="D809" s="41" t="n">
        <x:v>0.8903</x:v>
      </x:c>
      <x:c r="E809" s="41" t="n">
        <x:v>0.1521</x:v>
      </x:c>
      <x:c r="F809" s="48" t="str">
        <x:v>experiments/results/hcl/300/07.22-17.19.40/gen_apigraph_cnt300_001_warm_lr0.003_sgd_step_0.95_e250_adam_wlr0.00015_we100_test_2013-01_2018-12_cnt300.csv</x:v>
      </x:c>
    </x:row>
    <x:row r="810" ht="20" customHeight="1">
      <x:c r="A810" s="27" t="str">
        <x:v>HCL</x:v>
      </x:c>
      <x:c r="B810" s="30" t="str">
        <x:v>2014-02</x:v>
      </x:c>
      <x:c r="C810" s="40" t="n">
        <x:v>300</x:v>
      </x:c>
      <x:c r="D810" s="41" t="n">
        <x:v>0.9269</x:v>
      </x:c>
      <x:c r="E810" s="41" t="n">
        <x:v>0.0909</x:v>
      </x:c>
      <x:c r="F810" s="48" t="str">
        <x:v>experiments/results/hcl/300/07.22-17.19.40/gen_apigraph_cnt300_001_warm_lr0.003_sgd_step_0.95_e250_adam_wlr0.00015_we100_test_2013-01_2018-12_cnt300.csv</x:v>
      </x:c>
    </x:row>
    <x:row r="811" ht="20" customHeight="1">
      <x:c r="A811" s="27" t="str">
        <x:v>HCL</x:v>
      </x:c>
      <x:c r="B811" s="30" t="str">
        <x:v>2014-03</x:v>
      </x:c>
      <x:c r="C811" s="40" t="n">
        <x:v>300</x:v>
      </x:c>
      <x:c r="D811" s="41" t="n">
        <x:v>0.9078</x:v>
      </x:c>
      <x:c r="E811" s="41" t="n">
        <x:v>0.1032</x:v>
      </x:c>
      <x:c r="F811" s="48" t="str">
        <x:v>experiments/results/hcl/300/07.22-17.19.40/gen_apigraph_cnt300_001_warm_lr0.003_sgd_step_0.95_e250_adam_wlr0.00015_we100_test_2013-01_2018-12_cnt300.csv</x:v>
      </x:c>
    </x:row>
    <x:row r="812" ht="20" customHeight="1">
      <x:c r="A812" s="27" t="str">
        <x:v>HCL</x:v>
      </x:c>
      <x:c r="B812" s="30" t="str">
        <x:v>2014-04</x:v>
      </x:c>
      <x:c r="C812" s="40" t="n">
        <x:v>300</x:v>
      </x:c>
      <x:c r="D812" s="41" t="n">
        <x:v>0.9005</x:v>
      </x:c>
      <x:c r="E812" s="41" t="n">
        <x:v>0.1364</x:v>
      </x:c>
      <x:c r="F812" s="48" t="str">
        <x:v>experiments/results/hcl/300/07.22-17.19.40/gen_apigraph_cnt300_001_warm_lr0.003_sgd_step_0.95_e250_adam_wlr0.00015_we100_test_2013-01_2018-12_cnt300.csv</x:v>
      </x:c>
    </x:row>
    <x:row r="813" ht="20" customHeight="1">
      <x:c r="A813" s="27" t="str">
        <x:v>HCL</x:v>
      </x:c>
      <x:c r="B813" s="30" t="str">
        <x:v>2014-05</x:v>
      </x:c>
      <x:c r="C813" s="40" t="n">
        <x:v>300</x:v>
      </x:c>
      <x:c r="D813" s="41" t="n">
        <x:v>0.9129</x:v>
      </x:c>
      <x:c r="E813" s="41" t="n">
        <x:v>0.1147</x:v>
      </x:c>
      <x:c r="F813" s="48" t="str">
        <x:v>experiments/results/hcl/300/07.22-17.19.40/gen_apigraph_cnt300_001_warm_lr0.003_sgd_step_0.95_e250_adam_wlr0.00015_we100_test_2013-01_2018-12_cnt300.csv</x:v>
      </x:c>
    </x:row>
    <x:row r="814" ht="20" customHeight="1">
      <x:c r="A814" s="27" t="str">
        <x:v>HCL</x:v>
      </x:c>
      <x:c r="B814" s="30" t="str">
        <x:v>2014-06</x:v>
      </x:c>
      <x:c r="C814" s="40" t="n">
        <x:v>300</x:v>
      </x:c>
      <x:c r="D814" s="41" t="n">
        <x:v>0.9218</x:v>
      </x:c>
      <x:c r="E814" s="41" t="n">
        <x:v>0.1004</x:v>
      </x:c>
      <x:c r="F814" s="48" t="str">
        <x:v>experiments/results/hcl/300/07.22-17.19.40/gen_apigraph_cnt300_001_warm_lr0.003_sgd_step_0.95_e250_adam_wlr0.00015_we100_test_2013-01_2018-12_cnt300.csv</x:v>
      </x:c>
    </x:row>
    <x:row r="815" ht="20" customHeight="1">
      <x:c r="A815" s="27" t="str">
        <x:v>HCL</x:v>
      </x:c>
      <x:c r="B815" s="30" t="str">
        <x:v>2014-07</x:v>
      </x:c>
      <x:c r="C815" s="40" t="n">
        <x:v>300</x:v>
      </x:c>
      <x:c r="D815" s="41" t="n">
        <x:v>0.9505</x:v>
      </x:c>
      <x:c r="E815" s="41" t="n">
        <x:v>0.0581</x:v>
      </x:c>
      <x:c r="F815" s="48" t="str">
        <x:v>experiments/results/hcl/300/07.22-17.19.40/gen_apigraph_cnt300_001_warm_lr0.003_sgd_step_0.95_e250_adam_wlr0.00015_we100_test_2013-01_2018-12_cnt300.csv</x:v>
      </x:c>
    </x:row>
    <x:row r="816" ht="20" customHeight="1">
      <x:c r="A816" s="27" t="str">
        <x:v>HCL</x:v>
      </x:c>
      <x:c r="B816" s="30" t="str">
        <x:v>2014-08</x:v>
      </x:c>
      <x:c r="C816" s="40" t="n">
        <x:v>300</x:v>
      </x:c>
      <x:c r="D816" s="41" t="n">
        <x:v>0.9118</x:v>
      </x:c>
      <x:c r="E816" s="41" t="n">
        <x:v>0.1351</x:v>
      </x:c>
      <x:c r="F816" s="48" t="str">
        <x:v>experiments/results/hcl/300/07.22-17.19.40/gen_apigraph_cnt300_001_warm_lr0.003_sgd_step_0.95_e250_adam_wlr0.00015_we100_test_2013-01_2018-12_cnt300.csv</x:v>
      </x:c>
    </x:row>
    <x:row r="817" ht="20" customHeight="1">
      <x:c r="A817" s="27" t="str">
        <x:v>HCL</x:v>
      </x:c>
      <x:c r="B817" s="30" t="str">
        <x:v>2014-09</x:v>
      </x:c>
      <x:c r="C817" s="40" t="n">
        <x:v>300</x:v>
      </x:c>
      <x:c r="D817" s="41" t="n">
        <x:v>0.9432</x:v>
      </x:c>
      <x:c r="E817" s="41" t="n">
        <x:v>0.0758</x:v>
      </x:c>
      <x:c r="F817" s="48" t="str">
        <x:v>experiments/results/hcl/300/07.22-17.19.40/gen_apigraph_cnt300_001_warm_lr0.003_sgd_step_0.95_e250_adam_wlr0.00015_we100_test_2013-01_2018-12_cnt300.csv</x:v>
      </x:c>
    </x:row>
    <x:row r="818" ht="20" customHeight="1">
      <x:c r="A818" s="27" t="str">
        <x:v>HCL</x:v>
      </x:c>
      <x:c r="B818" s="30" t="str">
        <x:v>2014-10</x:v>
      </x:c>
      <x:c r="C818" s="40" t="n">
        <x:v>300</x:v>
      </x:c>
      <x:c r="D818" s="41" t="n">
        <x:v>0.9453</x:v>
      </x:c>
      <x:c r="E818" s="41" t="n">
        <x:v>0.0634</x:v>
      </x:c>
      <x:c r="F818" s="48" t="str">
        <x:v>experiments/results/hcl/300/07.22-17.19.40/gen_apigraph_cnt300_001_warm_lr0.003_sgd_step_0.95_e250_adam_wlr0.00015_we100_test_2013-01_2018-12_cnt300.csv</x:v>
      </x:c>
    </x:row>
    <x:row r="819" ht="20" customHeight="1">
      <x:c r="A819" s="27" t="str">
        <x:v>HCL</x:v>
      </x:c>
      <x:c r="B819" s="30" t="str">
        <x:v>2014-11</x:v>
      </x:c>
      <x:c r="C819" s="40" t="n">
        <x:v>300</x:v>
      </x:c>
      <x:c r="D819" s="41" t="n">
        <x:v>0.9575</x:v>
      </x:c>
      <x:c r="E819" s="41" t="n">
        <x:v>0.0406</x:v>
      </x:c>
      <x:c r="F819" s="48" t="str">
        <x:v>experiments/results/hcl/300/07.22-17.19.40/gen_apigraph_cnt300_001_warm_lr0.003_sgd_step_0.95_e250_adam_wlr0.00015_we100_test_2013-01_2018-12_cnt300.csv</x:v>
      </x:c>
    </x:row>
    <x:row r="820" ht="20" customHeight="1">
      <x:c r="A820" s="27" t="str">
        <x:v>HCL</x:v>
      </x:c>
      <x:c r="B820" s="30" t="str">
        <x:v>2014-12</x:v>
      </x:c>
      <x:c r="C820" s="40" t="n">
        <x:v>300</x:v>
      </x:c>
      <x:c r="D820" s="41" t="n">
        <x:v>0.9357</x:v>
      </x:c>
      <x:c r="E820" s="41" t="n">
        <x:v>0.0852</x:v>
      </x:c>
      <x:c r="F820" s="48" t="str">
        <x:v>experiments/results/hcl/300/07.22-17.19.40/gen_apigraph_cnt300_001_warm_lr0.003_sgd_step_0.95_e250_adam_wlr0.00015_we100_test_2013-01_2018-12_cnt300.csv</x:v>
      </x:c>
    </x:row>
    <x:row r="821" ht="20" customHeight="1">
      <x:c r="A821" s="27" t="str">
        <x:v>HCL</x:v>
      </x:c>
      <x:c r="B821" s="30" t="str">
        <x:v>2015-01</x:v>
      </x:c>
      <x:c r="C821" s="40" t="n">
        <x:v>300</x:v>
      </x:c>
      <x:c r="D821" s="41" t="n">
        <x:v>0.9022</x:v>
      </x:c>
      <x:c r="E821" s="41" t="n">
        <x:v>0.1506</x:v>
      </x:c>
      <x:c r="F821" s="48" t="str">
        <x:v>experiments/results/hcl/300/07.22-17.19.40/gen_apigraph_cnt300_001_warm_lr0.003_sgd_step_0.95_e250_adam_wlr0.00015_we100_test_2013-01_2018-12_cnt300.csv</x:v>
      </x:c>
    </x:row>
    <x:row r="822" ht="20" customHeight="1">
      <x:c r="A822" s="27" t="str">
        <x:v>HCL</x:v>
      </x:c>
      <x:c r="B822" s="30" t="str">
        <x:v>2015-02</x:v>
      </x:c>
      <x:c r="C822" s="40" t="n">
        <x:v>300</x:v>
      </x:c>
      <x:c r="D822" s="41" t="n">
        <x:v>0.9455</x:v>
      </x:c>
      <x:c r="E822" s="41" t="n">
        <x:v>0.0643</x:v>
      </x:c>
      <x:c r="F822" s="48" t="str">
        <x:v>experiments/results/hcl/300/07.22-17.19.40/gen_apigraph_cnt300_001_warm_lr0.003_sgd_step_0.95_e250_adam_wlr0.00015_we100_test_2013-01_2018-12_cnt300.csv</x:v>
      </x:c>
    </x:row>
    <x:row r="823" ht="20" customHeight="1">
      <x:c r="A823" s="27" t="str">
        <x:v>HCL</x:v>
      </x:c>
      <x:c r="B823" s="30" t="str">
        <x:v>2015-03</x:v>
      </x:c>
      <x:c r="C823" s="40" t="n">
        <x:v>300</x:v>
      </x:c>
      <x:c r="D823" s="41" t="n">
        <x:v>0.9545</x:v>
      </x:c>
      <x:c r="E823" s="41" t="n">
        <x:v>0.0637</x:v>
      </x:c>
      <x:c r="F823" s="48" t="str">
        <x:v>experiments/results/hcl/300/07.22-17.19.40/gen_apigraph_cnt300_001_warm_lr0.003_sgd_step_0.95_e250_adam_wlr0.00015_we100_test_2013-01_2018-12_cnt300.csv</x:v>
      </x:c>
    </x:row>
    <x:row r="824" ht="20" customHeight="1">
      <x:c r="A824" s="27" t="str">
        <x:v>HCL</x:v>
      </x:c>
      <x:c r="B824" s="30" t="str">
        <x:v>2015-04</x:v>
      </x:c>
      <x:c r="C824" s="40" t="n">
        <x:v>300</x:v>
      </x:c>
      <x:c r="D824" s="41" t="n">
        <x:v>0.954</x:v>
      </x:c>
      <x:c r="E824" s="41" t="n">
        <x:v>0.0664</x:v>
      </x:c>
      <x:c r="F824" s="48" t="str">
        <x:v>experiments/results/hcl/300/07.22-17.19.40/gen_apigraph_cnt300_001_warm_lr0.003_sgd_step_0.95_e250_adam_wlr0.00015_we100_test_2013-01_2018-12_cnt300.csv</x:v>
      </x:c>
    </x:row>
    <x:row r="825" ht="20" customHeight="1">
      <x:c r="A825" s="27" t="str">
        <x:v>HCL</x:v>
      </x:c>
      <x:c r="B825" s="30" t="str">
        <x:v>2015-05</x:v>
      </x:c>
      <x:c r="C825" s="40" t="n">
        <x:v>300</x:v>
      </x:c>
      <x:c r="D825" s="41" t="n">
        <x:v>0.9417</x:v>
      </x:c>
      <x:c r="E825" s="41" t="n">
        <x:v>0.0901</x:v>
      </x:c>
      <x:c r="F825" s="48" t="str">
        <x:v>experiments/results/hcl/300/07.22-17.19.40/gen_apigraph_cnt300_001_warm_lr0.003_sgd_step_0.95_e250_adam_wlr0.00015_we100_test_2013-01_2018-12_cnt300.csv</x:v>
      </x:c>
    </x:row>
    <x:row r="826" ht="20" customHeight="1">
      <x:c r="A826" s="27" t="str">
        <x:v>HCL</x:v>
      </x:c>
      <x:c r="B826" s="30" t="str">
        <x:v>2015-06</x:v>
      </x:c>
      <x:c r="C826" s="40" t="n">
        <x:v>300</x:v>
      </x:c>
      <x:c r="D826" s="41" t="n">
        <x:v>0.9085</x:v>
      </x:c>
      <x:c r="E826" s="41" t="n">
        <x:v>0.1422</x:v>
      </x:c>
      <x:c r="F826" s="48" t="str">
        <x:v>experiments/results/hcl/300/07.22-17.19.40/gen_apigraph_cnt300_001_warm_lr0.003_sgd_step_0.95_e250_adam_wlr0.00015_we100_test_2013-01_2018-12_cnt300.csv</x:v>
      </x:c>
    </x:row>
    <x:row r="827" ht="20" customHeight="1">
      <x:c r="A827" s="27" t="str">
        <x:v>HCL</x:v>
      </x:c>
      <x:c r="B827" s="30" t="str">
        <x:v>2015-07</x:v>
      </x:c>
      <x:c r="C827" s="40" t="n">
        <x:v>300</x:v>
      </x:c>
      <x:c r="D827" s="41" t="n">
        <x:v>0.9496</x:v>
      </x:c>
      <x:c r="E827" s="41" t="n">
        <x:v>0.0713</x:v>
      </x:c>
      <x:c r="F827" s="48" t="str">
        <x:v>experiments/results/hcl/300/07.22-17.19.40/gen_apigraph_cnt300_001_warm_lr0.003_sgd_step_0.95_e250_adam_wlr0.00015_we100_test_2013-01_2018-12_cnt300.csv</x:v>
      </x:c>
    </x:row>
    <x:row r="828" ht="20" customHeight="1">
      <x:c r="A828" s="27" t="str">
        <x:v>HCL</x:v>
      </x:c>
      <x:c r="B828" s="30" t="str">
        <x:v>2015-08</x:v>
      </x:c>
      <x:c r="C828" s="40" t="n">
        <x:v>300</x:v>
      </x:c>
      <x:c r="D828" s="41" t="n">
        <x:v>0.9482</x:v>
      </x:c>
      <x:c r="E828" s="41" t="n">
        <x:v>0.0719</x:v>
      </x:c>
      <x:c r="F828" s="48" t="str">
        <x:v>experiments/results/hcl/300/07.22-17.19.40/gen_apigraph_cnt300_001_warm_lr0.003_sgd_step_0.95_e250_adam_wlr0.00015_we100_test_2013-01_2018-12_cnt300.csv</x:v>
      </x:c>
    </x:row>
    <x:row r="829" ht="20" customHeight="1">
      <x:c r="A829" s="27" t="str">
        <x:v>HCL</x:v>
      </x:c>
      <x:c r="B829" s="30" t="str">
        <x:v>2015-09</x:v>
      </x:c>
      <x:c r="C829" s="40" t="n">
        <x:v>300</x:v>
      </x:c>
      <x:c r="D829" s="41" t="n">
        <x:v>0.9513</x:v>
      </x:c>
      <x:c r="E829" s="41" t="n">
        <x:v>0.0685</x:v>
      </x:c>
      <x:c r="F829" s="48" t="str">
        <x:v>experiments/results/hcl/300/07.22-17.19.40/gen_apigraph_cnt300_001_warm_lr0.003_sgd_step_0.95_e250_adam_wlr0.00015_we100_test_2013-01_2018-12_cnt300.csv</x:v>
      </x:c>
    </x:row>
    <x:row r="830" ht="20" customHeight="1">
      <x:c r="A830" s="27" t="str">
        <x:v>HCL</x:v>
      </x:c>
      <x:c r="B830" s="30" t="str">
        <x:v>2015-10</x:v>
      </x:c>
      <x:c r="C830" s="40" t="n">
        <x:v>300</x:v>
      </x:c>
      <x:c r="D830" s="41" t="n">
        <x:v>0.8375</x:v>
      </x:c>
      <x:c r="E830" s="41" t="n">
        <x:v>0.2568</x:v>
      </x:c>
      <x:c r="F830" s="48" t="str">
        <x:v>experiments/results/hcl/300/07.22-17.19.40/gen_apigraph_cnt300_001_warm_lr0.003_sgd_step_0.95_e250_adam_wlr0.00015_we100_test_2013-01_2018-12_cnt300.csv</x:v>
      </x:c>
    </x:row>
    <x:row r="831" ht="20" customHeight="1">
      <x:c r="A831" s="27" t="str">
        <x:v>HCL</x:v>
      </x:c>
      <x:c r="B831" s="30" t="str">
        <x:v>2015-11</x:v>
      </x:c>
      <x:c r="C831" s="40" t="n">
        <x:v>300</x:v>
      </x:c>
      <x:c r="D831" s="41" t="n">
        <x:v>0.8834</x:v>
      </x:c>
      <x:c r="E831" s="41" t="n">
        <x:v>0.1926</x:v>
      </x:c>
      <x:c r="F831" s="48" t="str">
        <x:v>experiments/results/hcl/300/07.22-17.19.40/gen_apigraph_cnt300_001_warm_lr0.003_sgd_step_0.95_e250_adam_wlr0.00015_we100_test_2013-01_2018-12_cnt300.csv</x:v>
      </x:c>
    </x:row>
    <x:row r="832" ht="20" customHeight="1">
      <x:c r="A832" s="27" t="str">
        <x:v>HCL</x:v>
      </x:c>
      <x:c r="B832" s="30" t="str">
        <x:v>2015-12</x:v>
      </x:c>
      <x:c r="C832" s="40" t="n">
        <x:v>300</x:v>
      </x:c>
      <x:c r="D832" s="41" t="n">
        <x:v>0.9622</x:v>
      </x:c>
      <x:c r="E832" s="41" t="n">
        <x:v>0.0478</x:v>
      </x:c>
      <x:c r="F832" s="48" t="str">
        <x:v>experiments/results/hcl/300/07.22-17.19.40/gen_apigraph_cnt300_001_warm_lr0.003_sgd_step_0.95_e250_adam_wlr0.00015_we100_test_2013-01_2018-12_cnt300.csv</x:v>
      </x:c>
    </x:row>
    <x:row r="833" ht="20" customHeight="1">
      <x:c r="A833" s="27" t="str">
        <x:v>HCL</x:v>
      </x:c>
      <x:c r="B833" s="30" t="str">
        <x:v>2016-01</x:v>
      </x:c>
      <x:c r="C833" s="40" t="n">
        <x:v>300</x:v>
      </x:c>
      <x:c r="D833" s="41" t="n">
        <x:v>0.9406</x:v>
      </x:c>
      <x:c r="E833" s="41" t="n">
        <x:v>0.0917</x:v>
      </x:c>
      <x:c r="F833" s="48" t="str">
        <x:v>experiments/results/hcl/300/07.22-17.19.40/gen_apigraph_cnt300_001_warm_lr0.003_sgd_step_0.95_e250_adam_wlr0.00015_we100_test_2013-01_2018-12_cnt300.csv</x:v>
      </x:c>
    </x:row>
    <x:row r="834" ht="20" customHeight="1">
      <x:c r="A834" s="27" t="str">
        <x:v>HCL</x:v>
      </x:c>
      <x:c r="B834" s="30" t="str">
        <x:v>2016-02</x:v>
      </x:c>
      <x:c r="C834" s="40" t="n">
        <x:v>300</x:v>
      </x:c>
      <x:c r="D834" s="41" t="n">
        <x:v>0.9512</x:v>
      </x:c>
      <x:c r="E834" s="41" t="n">
        <x:v>0.0576</x:v>
      </x:c>
      <x:c r="F834" s="48" t="str">
        <x:v>experiments/results/hcl/300/07.22-17.19.40/gen_apigraph_cnt300_001_warm_lr0.003_sgd_step_0.95_e250_adam_wlr0.00015_we100_test_2013-01_2018-12_cnt300.csv</x:v>
      </x:c>
    </x:row>
    <x:row r="835" ht="20" customHeight="1">
      <x:c r="A835" s="27" t="str">
        <x:v>HCL</x:v>
      </x:c>
      <x:c r="B835" s="30" t="str">
        <x:v>2016-03</x:v>
      </x:c>
      <x:c r="C835" s="40" t="n">
        <x:v>300</x:v>
      </x:c>
      <x:c r="D835" s="41" t="n">
        <x:v>0.9467</x:v>
      </x:c>
      <x:c r="E835" s="41" t="n">
        <x:v>0.0795</x:v>
      </x:c>
      <x:c r="F835" s="48" t="str">
        <x:v>experiments/results/hcl/300/07.22-17.19.40/gen_apigraph_cnt300_001_warm_lr0.003_sgd_step_0.95_e250_adam_wlr0.00015_we100_test_2013-01_2018-12_cnt300.csv</x:v>
      </x:c>
    </x:row>
    <x:row r="836" ht="20" customHeight="1">
      <x:c r="A836" s="27" t="str">
        <x:v>HCL</x:v>
      </x:c>
      <x:c r="B836" s="30" t="str">
        <x:v>2016-04</x:v>
      </x:c>
      <x:c r="C836" s="40" t="n">
        <x:v>300</x:v>
      </x:c>
      <x:c r="D836" s="41" t="n">
        <x:v>0.9457</x:v>
      </x:c>
      <x:c r="E836" s="41" t="n">
        <x:v>0.0532</x:v>
      </x:c>
      <x:c r="F836" s="48" t="str">
        <x:v>experiments/results/hcl/300/07.22-17.19.40/gen_apigraph_cnt300_001_warm_lr0.003_sgd_step_0.95_e250_adam_wlr0.00015_we100_test_2013-01_2018-12_cnt300.csv</x:v>
      </x:c>
    </x:row>
    <x:row r="837" ht="20" customHeight="1">
      <x:c r="A837" s="27" t="str">
        <x:v>HCL</x:v>
      </x:c>
      <x:c r="B837" s="30" t="str">
        <x:v>2016-05</x:v>
      </x:c>
      <x:c r="C837" s="40" t="n">
        <x:v>300</x:v>
      </x:c>
      <x:c r="D837" s="41" t="n">
        <x:v>0.9506</x:v>
      </x:c>
      <x:c r="E837" s="41" t="n">
        <x:v>0.0713</x:v>
      </x:c>
      <x:c r="F837" s="48" t="str">
        <x:v>experiments/results/hcl/300/07.22-17.19.40/gen_apigraph_cnt300_001_warm_lr0.003_sgd_step_0.95_e250_adam_wlr0.00015_we100_test_2013-01_2018-12_cnt300.csv</x:v>
      </x:c>
    </x:row>
    <x:row r="838" ht="20" customHeight="1">
      <x:c r="A838" s="27" t="str">
        <x:v>HCL</x:v>
      </x:c>
      <x:c r="B838" s="30" t="str">
        <x:v>2016-06</x:v>
      </x:c>
      <x:c r="C838" s="40" t="n">
        <x:v>300</x:v>
      </x:c>
      <x:c r="D838" s="41" t="n">
        <x:v>0.9511</x:v>
      </x:c>
      <x:c r="E838" s="41" t="n">
        <x:v>0.0711</x:v>
      </x:c>
      <x:c r="F838" s="48" t="str">
        <x:v>experiments/results/hcl/300/07.22-17.19.40/gen_apigraph_cnt300_001_warm_lr0.003_sgd_step_0.95_e250_adam_wlr0.00015_we100_test_2013-01_2018-12_cnt300.csv</x:v>
      </x:c>
    </x:row>
    <x:row r="839" ht="20" customHeight="1">
      <x:c r="A839" s="27" t="str">
        <x:v>HCL</x:v>
      </x:c>
      <x:c r="B839" s="30" t="str">
        <x:v>2016-07</x:v>
      </x:c>
      <x:c r="C839" s="40" t="n">
        <x:v>300</x:v>
      </x:c>
      <x:c r="D839" s="41" t="n">
        <x:v>0.9492</x:v>
      </x:c>
      <x:c r="E839" s="41" t="n">
        <x:v>0.0686</x:v>
      </x:c>
      <x:c r="F839" s="48" t="str">
        <x:v>experiments/results/hcl/300/07.22-17.19.40/gen_apigraph_cnt300_001_warm_lr0.003_sgd_step_0.95_e250_adam_wlr0.00015_we100_test_2013-01_2018-12_cnt300.csv</x:v>
      </x:c>
    </x:row>
    <x:row r="840" ht="20" customHeight="1">
      <x:c r="A840" s="27" t="str">
        <x:v>HCL</x:v>
      </x:c>
      <x:c r="B840" s="30" t="str">
        <x:v>2016-08</x:v>
      </x:c>
      <x:c r="C840" s="40" t="n">
        <x:v>300</x:v>
      </x:c>
      <x:c r="D840" s="41" t="n">
        <x:v>0.9509</x:v>
      </x:c>
      <x:c r="E840" s="41" t="n">
        <x:v>0.0644</x:v>
      </x:c>
      <x:c r="F840" s="48" t="str">
        <x:v>experiments/results/hcl/300/07.22-17.19.40/gen_apigraph_cnt300_001_warm_lr0.003_sgd_step_0.95_e250_adam_wlr0.00015_we100_test_2013-01_2018-12_cnt300.csv</x:v>
      </x:c>
    </x:row>
    <x:row r="841" ht="20" customHeight="1">
      <x:c r="A841" s="27" t="str">
        <x:v>HCL</x:v>
      </x:c>
      <x:c r="B841" s="30" t="str">
        <x:v>2016-09</x:v>
      </x:c>
      <x:c r="C841" s="40" t="n">
        <x:v>300</x:v>
      </x:c>
      <x:c r="D841" s="41" t="n">
        <x:v>0.9478</x:v>
      </x:c>
      <x:c r="E841" s="41" t="n">
        <x:v>0.0791</x:v>
      </x:c>
      <x:c r="F841" s="48" t="str">
        <x:v>experiments/results/hcl/300/07.22-17.19.40/gen_apigraph_cnt300_001_warm_lr0.003_sgd_step_0.95_e250_adam_wlr0.00015_we100_test_2013-01_2018-12_cnt300.csv</x:v>
      </x:c>
    </x:row>
    <x:row r="842" ht="20" customHeight="1">
      <x:c r="A842" s="27" t="str">
        <x:v>HCL</x:v>
      </x:c>
      <x:c r="B842" s="30" t="str">
        <x:v>2016-10</x:v>
      </x:c>
      <x:c r="C842" s="40" t="n">
        <x:v>300</x:v>
      </x:c>
      <x:c r="D842" s="41" t="n">
        <x:v>0.9476</x:v>
      </x:c>
      <x:c r="E842" s="41" t="n">
        <x:v>0.063</x:v>
      </x:c>
      <x:c r="F842" s="48" t="str">
        <x:v>experiments/results/hcl/300/07.22-17.19.40/gen_apigraph_cnt300_001_warm_lr0.003_sgd_step_0.95_e250_adam_wlr0.00015_we100_test_2013-01_2018-12_cnt300.csv</x:v>
      </x:c>
    </x:row>
    <x:row r="843" ht="20" customHeight="1">
      <x:c r="A843" s="27" t="str">
        <x:v>HCL</x:v>
      </x:c>
      <x:c r="B843" s="30" t="str">
        <x:v>2016-11</x:v>
      </x:c>
      <x:c r="C843" s="40" t="n">
        <x:v>300</x:v>
      </x:c>
      <x:c r="D843" s="41" t="n">
        <x:v>0.9599</x:v>
      </x:c>
      <x:c r="E843" s="41" t="n">
        <x:v>0.0576</x:v>
      </x:c>
      <x:c r="F843" s="48" t="str">
        <x:v>experiments/results/hcl/300/07.22-17.19.40/gen_apigraph_cnt300_001_warm_lr0.003_sgd_step_0.95_e250_adam_wlr0.00015_we100_test_2013-01_2018-12_cnt300.csv</x:v>
      </x:c>
    </x:row>
    <x:row r="844" ht="20" customHeight="1">
      <x:c r="A844" s="27" t="str">
        <x:v>HCL</x:v>
      </x:c>
      <x:c r="B844" s="30" t="str">
        <x:v>2016-12</x:v>
      </x:c>
      <x:c r="C844" s="40" t="n">
        <x:v>300</x:v>
      </x:c>
      <x:c r="D844" s="41" t="n">
        <x:v>0.8787</x:v>
      </x:c>
      <x:c r="E844" s="41" t="n">
        <x:v>0.1857</x:v>
      </x:c>
      <x:c r="F844" s="48" t="str">
        <x:v>experiments/results/hcl/300/07.22-17.19.40/gen_apigraph_cnt300_001_warm_lr0.003_sgd_step_0.95_e250_adam_wlr0.00015_we100_test_2013-01_2018-12_cnt300.csv</x:v>
      </x:c>
    </x:row>
    <x:row r="845" ht="20" customHeight="1">
      <x:c r="A845" s="27" t="str">
        <x:v>HCL</x:v>
      </x:c>
      <x:c r="B845" s="30" t="str">
        <x:v>2017-01</x:v>
      </x:c>
      <x:c r="C845" s="40" t="n">
        <x:v>300</x:v>
      </x:c>
      <x:c r="D845" s="41" t="n">
        <x:v>0.925</x:v>
      </x:c>
      <x:c r="E845" s="41" t="n">
        <x:v>0.0938</x:v>
      </x:c>
      <x:c r="F845" s="48" t="str">
        <x:v>experiments/results/hcl/300/07.22-17.19.40/gen_apigraph_cnt300_001_warm_lr0.003_sgd_step_0.95_e250_adam_wlr0.00015_we100_test_2013-01_2018-12_cnt300.csv</x:v>
      </x:c>
    </x:row>
    <x:row r="846" ht="20" customHeight="1">
      <x:c r="A846" s="27" t="str">
        <x:v>HCL</x:v>
      </x:c>
      <x:c r="B846" s="30" t="str">
        <x:v>2017-02</x:v>
      </x:c>
      <x:c r="C846" s="40" t="n">
        <x:v>300</x:v>
      </x:c>
      <x:c r="D846" s="41" t="n">
        <x:v>0.9615</x:v>
      </x:c>
      <x:c r="E846" s="41" t="n">
        <x:v>0.0489</x:v>
      </x:c>
      <x:c r="F846" s="48" t="str">
        <x:v>experiments/results/hcl/300/07.22-17.19.40/gen_apigraph_cnt300_001_warm_lr0.003_sgd_step_0.95_e250_adam_wlr0.00015_we100_test_2013-01_2018-12_cnt300.csv</x:v>
      </x:c>
    </x:row>
    <x:row r="847" ht="20" customHeight="1">
      <x:c r="A847" s="27" t="str">
        <x:v>HCL</x:v>
      </x:c>
      <x:c r="B847" s="30" t="str">
        <x:v>2017-03</x:v>
      </x:c>
      <x:c r="C847" s="40" t="n">
        <x:v>300</x:v>
      </x:c>
      <x:c r="D847" s="41" t="n">
        <x:v>0.902</x:v>
      </x:c>
      <x:c r="E847" s="41" t="n">
        <x:v>0.0994</x:v>
      </x:c>
      <x:c r="F847" s="48" t="str">
        <x:v>experiments/results/hcl/300/07.22-17.19.40/gen_apigraph_cnt300_001_warm_lr0.003_sgd_step_0.95_e250_adam_wlr0.00015_we100_test_2013-01_2018-12_cnt300.csv</x:v>
      </x:c>
    </x:row>
    <x:row r="848" ht="20" customHeight="1">
      <x:c r="A848" s="27" t="str">
        <x:v>HCL</x:v>
      </x:c>
      <x:c r="B848" s="30" t="str">
        <x:v>2017-04</x:v>
      </x:c>
      <x:c r="C848" s="40" t="n">
        <x:v>300</x:v>
      </x:c>
      <x:c r="D848" s="41" t="n">
        <x:v>0.871</x:v>
      </x:c>
      <x:c r="E848" s="41" t="n">
        <x:v>0.129</x:v>
      </x:c>
      <x:c r="F848" s="48" t="str">
        <x:v>experiments/results/hcl/300/07.22-17.19.40/gen_apigraph_cnt300_001_warm_lr0.003_sgd_step_0.95_e250_adam_wlr0.00015_we100_test_2013-01_2018-12_cnt300.csv</x:v>
      </x:c>
    </x:row>
    <x:row r="849" ht="20" customHeight="1">
      <x:c r="A849" s="27" t="str">
        <x:v>HCL</x:v>
      </x:c>
      <x:c r="B849" s="30" t="str">
        <x:v>2017-05</x:v>
      </x:c>
      <x:c r="C849" s="40" t="n">
        <x:v>300</x:v>
      </x:c>
      <x:c r="D849" s="41" t="n">
        <x:v>0.9101</x:v>
      </x:c>
      <x:c r="E849" s="41" t="n">
        <x:v>0.1313</x:v>
      </x:c>
      <x:c r="F849" s="48" t="str">
        <x:v>experiments/results/hcl/300/07.22-17.19.40/gen_apigraph_cnt300_001_warm_lr0.003_sgd_step_0.95_e250_adam_wlr0.00015_we100_test_2013-01_2018-12_cnt300.csv</x:v>
      </x:c>
    </x:row>
    <x:row r="850" ht="20" customHeight="1">
      <x:c r="A850" s="27" t="str">
        <x:v>HCL</x:v>
      </x:c>
      <x:c r="B850" s="30" t="str">
        <x:v>2017-06</x:v>
      </x:c>
      <x:c r="C850" s="40" t="n">
        <x:v>300</x:v>
      </x:c>
      <x:c r="D850" s="41" t="n">
        <x:v>0.8815</x:v>
      </x:c>
      <x:c r="E850" s="41" t="n">
        <x:v>0.177</x:v>
      </x:c>
      <x:c r="F850" s="48" t="str">
        <x:v>experiments/results/hcl/300/07.22-17.19.40/gen_apigraph_cnt300_001_warm_lr0.003_sgd_step_0.95_e250_adam_wlr0.00015_we100_test_2013-01_2018-12_cnt300.csv</x:v>
      </x:c>
    </x:row>
    <x:row r="851" ht="20" customHeight="1">
      <x:c r="A851" s="27" t="str">
        <x:v>HCL</x:v>
      </x:c>
      <x:c r="B851" s="30" t="str">
        <x:v>2017-07</x:v>
      </x:c>
      <x:c r="C851" s="40" t="n">
        <x:v>300</x:v>
      </x:c>
      <x:c r="D851" s="41" t="n">
        <x:v>0.939</x:v>
      </x:c>
      <x:c r="E851" s="41" t="n">
        <x:v>0.0535</x:v>
      </x:c>
      <x:c r="F851" s="48" t="str">
        <x:v>experiments/results/hcl/300/07.22-17.19.40/gen_apigraph_cnt300_001_warm_lr0.003_sgd_step_0.95_e250_adam_wlr0.00015_we100_test_2013-01_2018-12_cnt300.csv</x:v>
      </x:c>
    </x:row>
    <x:row r="852" ht="20" customHeight="1">
      <x:c r="A852" s="27" t="str">
        <x:v>HCL</x:v>
      </x:c>
      <x:c r="B852" s="30" t="str">
        <x:v>2017-08</x:v>
      </x:c>
      <x:c r="C852" s="40" t="n">
        <x:v>300</x:v>
      </x:c>
      <x:c r="D852" s="41" t="n">
        <x:v>0.9529</x:v>
      </x:c>
      <x:c r="E852" s="41" t="n">
        <x:v>0.0439</x:v>
      </x:c>
      <x:c r="F852" s="48" t="str">
        <x:v>experiments/results/hcl/300/07.22-17.19.40/gen_apigraph_cnt300_001_warm_lr0.003_sgd_step_0.95_e250_adam_wlr0.00015_we100_test_2013-01_2018-12_cnt300.csv</x:v>
      </x:c>
    </x:row>
    <x:row r="853" ht="20" customHeight="1">
      <x:c r="A853" s="27" t="str">
        <x:v>HCL</x:v>
      </x:c>
      <x:c r="B853" s="30" t="str">
        <x:v>2017-09</x:v>
      </x:c>
      <x:c r="C853" s="40" t="n">
        <x:v>300</x:v>
      </x:c>
      <x:c r="D853" s="41" t="n">
        <x:v>0.9375</x:v>
      </x:c>
      <x:c r="E853" s="41" t="n">
        <x:v>0.0446</x:v>
      </x:c>
      <x:c r="F853" s="48" t="str">
        <x:v>experiments/results/hcl/300/07.22-17.19.40/gen_apigraph_cnt300_001_warm_lr0.003_sgd_step_0.95_e250_adam_wlr0.00015_we100_test_2013-01_2018-12_cnt300.csv</x:v>
      </x:c>
    </x:row>
    <x:row r="854" ht="20" customHeight="1">
      <x:c r="A854" s="27" t="str">
        <x:v>HCL</x:v>
      </x:c>
      <x:c r="B854" s="30" t="str">
        <x:v>2017-10</x:v>
      </x:c>
      <x:c r="C854" s="40" t="n">
        <x:v>300</x:v>
      </x:c>
      <x:c r="D854" s="41" t="n">
        <x:v>0.9376</x:v>
      </x:c>
      <x:c r="E854" s="41" t="n">
        <x:v>0.0814</x:v>
      </x:c>
      <x:c r="F854" s="48" t="str">
        <x:v>experiments/results/hcl/300/07.22-17.19.40/gen_apigraph_cnt300_001_warm_lr0.003_sgd_step_0.95_e250_adam_wlr0.00015_we100_test_2013-01_2018-12_cnt300.csv</x:v>
      </x:c>
    </x:row>
    <x:row r="855" ht="20" customHeight="1">
      <x:c r="A855" s="27" t="str">
        <x:v>HCL</x:v>
      </x:c>
      <x:c r="B855" s="30" t="str">
        <x:v>2017-11</x:v>
      </x:c>
      <x:c r="C855" s="40" t="n">
        <x:v>300</x:v>
      </x:c>
      <x:c r="D855" s="41" t="n">
        <x:v>0.9215</x:v>
      </x:c>
      <x:c r="E855" s="41" t="n">
        <x:v>0.0435</x:v>
      </x:c>
      <x:c r="F855" s="48" t="str">
        <x:v>experiments/results/hcl/300/07.22-17.19.40/gen_apigraph_cnt300_001_warm_lr0.003_sgd_step_0.95_e250_adam_wlr0.00015_we100_test_2013-01_2018-12_cnt300.csv</x:v>
      </x:c>
    </x:row>
    <x:row r="856" ht="20" customHeight="1">
      <x:c r="A856" s="27" t="str">
        <x:v>HCL</x:v>
      </x:c>
      <x:c r="B856" s="30" t="str">
        <x:v>2017-12</x:v>
      </x:c>
      <x:c r="C856" s="40" t="n">
        <x:v>300</x:v>
      </x:c>
      <x:c r="D856" s="41" t="n">
        <x:v>0.8906</x:v>
      </x:c>
      <x:c r="E856" s="41" t="n">
        <x:v>0.056</x:v>
      </x:c>
      <x:c r="F856" s="48" t="str">
        <x:v>experiments/results/hcl/300/07.22-17.19.40/gen_apigraph_cnt300_001_warm_lr0.003_sgd_step_0.95_e250_adam_wlr0.00015_we100_test_2013-01_2018-12_cnt300.csv</x:v>
      </x:c>
    </x:row>
    <x:row r="857" ht="20" customHeight="1">
      <x:c r="A857" s="27" t="str">
        <x:v>HCL</x:v>
      </x:c>
      <x:c r="B857" s="30" t="str">
        <x:v>2018-01</x:v>
      </x:c>
      <x:c r="C857" s="40" t="n">
        <x:v>300</x:v>
      </x:c>
      <x:c r="D857" s="41" t="n">
        <x:v>0.8762</x:v>
      </x:c>
      <x:c r="E857" s="41" t="n">
        <x:v>0.098</x:v>
      </x:c>
      <x:c r="F857" s="48" t="str">
        <x:v>experiments/results/hcl/300/07.22-17.19.40/gen_apigraph_cnt300_001_warm_lr0.003_sgd_step_0.95_e250_adam_wlr0.00015_we100_test_2013-01_2018-12_cnt300.csv</x:v>
      </x:c>
    </x:row>
    <x:row r="858" ht="20" customHeight="1">
      <x:c r="A858" s="27" t="str">
        <x:v>HCL</x:v>
      </x:c>
      <x:c r="B858" s="30" t="str">
        <x:v>2018-02</x:v>
      </x:c>
      <x:c r="C858" s="40" t="n">
        <x:v>300</x:v>
      </x:c>
      <x:c r="D858" s="41" t="n">
        <x:v>0.9362</x:v>
      </x:c>
      <x:c r="E858" s="41" t="n">
        <x:v>0.0897</x:v>
      </x:c>
      <x:c r="F858" s="48" t="str">
        <x:v>experiments/results/hcl/300/07.22-17.19.40/gen_apigraph_cnt300_001_warm_lr0.003_sgd_step_0.95_e250_adam_wlr0.00015_we100_test_2013-01_2018-12_cnt300.csv</x:v>
      </x:c>
    </x:row>
    <x:row r="859" ht="20" customHeight="1">
      <x:c r="A859" s="27" t="str">
        <x:v>HCL</x:v>
      </x:c>
      <x:c r="B859" s="30" t="str">
        <x:v>2018-03</x:v>
      </x:c>
      <x:c r="C859" s="40" t="n">
        <x:v>300</x:v>
      </x:c>
      <x:c r="D859" s="41" t="n">
        <x:v>0.9133</x:v>
      </x:c>
      <x:c r="E859" s="41" t="n">
        <x:v>0.0584</x:v>
      </x:c>
      <x:c r="F859" s="48" t="str">
        <x:v>experiments/results/hcl/300/07.22-17.19.40/gen_apigraph_cnt300_001_warm_lr0.003_sgd_step_0.95_e250_adam_wlr0.00015_we100_test_2013-01_2018-12_cnt300.csv</x:v>
      </x:c>
    </x:row>
    <x:row r="860" ht="20" customHeight="1">
      <x:c r="A860" s="27" t="str">
        <x:v>HCL</x:v>
      </x:c>
      <x:c r="B860" s="30" t="str">
        <x:v>2018-04</x:v>
      </x:c>
      <x:c r="C860" s="40" t="n">
        <x:v>300</x:v>
      </x:c>
      <x:c r="D860" s="41" t="n">
        <x:v>0.9258</x:v>
      </x:c>
      <x:c r="E860" s="41" t="n">
        <x:v>0.0676</x:v>
      </x:c>
      <x:c r="F860" s="48" t="str">
        <x:v>experiments/results/hcl/300/07.22-17.19.40/gen_apigraph_cnt300_001_warm_lr0.003_sgd_step_0.95_e250_adam_wlr0.00015_we100_test_2013-01_2018-12_cnt300.csv</x:v>
      </x:c>
    </x:row>
    <x:row r="861" ht="20" customHeight="1">
      <x:c r="A861" s="27" t="str">
        <x:v>HCL</x:v>
      </x:c>
      <x:c r="B861" s="30" t="str">
        <x:v>2018-05</x:v>
      </x:c>
      <x:c r="C861" s="40" t="n">
        <x:v>300</x:v>
      </x:c>
      <x:c r="D861" s="41" t="n">
        <x:v>0.9419</x:v>
      </x:c>
      <x:c r="E861" s="41" t="n">
        <x:v>0.062</x:v>
      </x:c>
      <x:c r="F861" s="48" t="str">
        <x:v>experiments/results/hcl/300/07.22-17.19.40/gen_apigraph_cnt300_001_warm_lr0.003_sgd_step_0.95_e250_adam_wlr0.00015_we100_test_2013-01_2018-12_cnt300.csv</x:v>
      </x:c>
    </x:row>
    <x:row r="862" ht="20" customHeight="1">
      <x:c r="A862" s="27" t="str">
        <x:v>HCL</x:v>
      </x:c>
      <x:c r="B862" s="30" t="str">
        <x:v>2018-06</x:v>
      </x:c>
      <x:c r="C862" s="40" t="n">
        <x:v>300</x:v>
      </x:c>
      <x:c r="D862" s="41" t="n">
        <x:v>0.9386</x:v>
      </x:c>
      <x:c r="E862" s="41" t="n">
        <x:v>0.1046</x:v>
      </x:c>
      <x:c r="F862" s="48" t="str">
        <x:v>experiments/results/hcl/300/07.22-17.19.40/gen_apigraph_cnt300_001_warm_lr0.003_sgd_step_0.95_e250_adam_wlr0.00015_we100_test_2013-01_2018-12_cnt300.csv</x:v>
      </x:c>
    </x:row>
    <x:row r="863" ht="20" customHeight="1">
      <x:c r="A863" s="27" t="str">
        <x:v>HCL</x:v>
      </x:c>
      <x:c r="B863" s="30" t="str">
        <x:v>2018-07</x:v>
      </x:c>
      <x:c r="C863" s="40" t="n">
        <x:v>300</x:v>
      </x:c>
      <x:c r="D863" s="41" t="n">
        <x:v>0.936</x:v>
      </x:c>
      <x:c r="E863" s="41" t="n">
        <x:v>0.1004</x:v>
      </x:c>
      <x:c r="F863" s="48" t="str">
        <x:v>experiments/results/hcl/300/07.22-17.19.40/gen_apigraph_cnt300_001_warm_lr0.003_sgd_step_0.95_e250_adam_wlr0.00015_we100_test_2013-01_2018-12_cnt300.csv</x:v>
      </x:c>
    </x:row>
    <x:row r="864" ht="20" customHeight="1">
      <x:c r="A864" s="27" t="str">
        <x:v>HCL</x:v>
      </x:c>
      <x:c r="B864" s="30" t="str">
        <x:v>2018-08</x:v>
      </x:c>
      <x:c r="C864" s="40" t="n">
        <x:v>300</x:v>
      </x:c>
      <x:c r="D864" s="41" t="n">
        <x:v>0.9402</x:v>
      </x:c>
      <x:c r="E864" s="41" t="n">
        <x:v>0.055</x:v>
      </x:c>
      <x:c r="F864" s="48" t="str">
        <x:v>experiments/results/hcl/300/07.22-17.19.40/gen_apigraph_cnt300_001_warm_lr0.003_sgd_step_0.95_e250_adam_wlr0.00015_we100_test_2013-01_2018-12_cnt300.csv</x:v>
      </x:c>
    </x:row>
    <x:row r="865" ht="20" customHeight="1">
      <x:c r="A865" s="27" t="str">
        <x:v>HCL</x:v>
      </x:c>
      <x:c r="B865" s="30" t="str">
        <x:v>2018-09</x:v>
      </x:c>
      <x:c r="C865" s="40" t="n">
        <x:v>300</x:v>
      </x:c>
      <x:c r="D865" s="41" t="n">
        <x:v>0.9298</x:v>
      </x:c>
      <x:c r="E865" s="41" t="n">
        <x:v>0.0459</x:v>
      </x:c>
      <x:c r="F865" s="48" t="str">
        <x:v>experiments/results/hcl/300/07.22-17.19.40/gen_apigraph_cnt300_001_warm_lr0.003_sgd_step_0.95_e250_adam_wlr0.00015_we100_test_2013-01_2018-12_cnt300.csv</x:v>
      </x:c>
    </x:row>
    <x:row r="866" ht="20" customHeight="1">
      <x:c r="A866" s="27" t="str">
        <x:v>HCL</x:v>
      </x:c>
      <x:c r="B866" s="30" t="str">
        <x:v>2018-10</x:v>
      </x:c>
      <x:c r="C866" s="40" t="n">
        <x:v>300</x:v>
      </x:c>
      <x:c r="D866" s="41" t="n">
        <x:v>0.979</x:v>
      </x:c>
      <x:c r="E866" s="41" t="n">
        <x:v>0.0081</x:v>
      </x:c>
      <x:c r="F866" s="48" t="str">
        <x:v>experiments/results/hcl/300/07.22-17.19.40/gen_apigraph_cnt300_001_warm_lr0.003_sgd_step_0.95_e250_adam_wlr0.00015_we100_test_2013-01_2018-12_cnt300.csv</x:v>
      </x:c>
    </x:row>
    <x:row r="867" ht="20" customHeight="1">
      <x:c r="A867" s="27" t="str">
        <x:v>HCL</x:v>
      </x:c>
      <x:c r="B867" s="30" t="str">
        <x:v>2018-11</x:v>
      </x:c>
      <x:c r="C867" s="40" t="n">
        <x:v>300</x:v>
      </x:c>
      <x:c r="D867" s="41" t="n">
        <x:v>0.9674</x:v>
      </x:c>
      <x:c r="E867" s="41" t="n">
        <x:v>0.0174</x:v>
      </x:c>
      <x:c r="F867" s="48" t="str">
        <x:v>experiments/results/hcl/300/07.22-17.19.40/gen_apigraph_cnt300_001_warm_lr0.003_sgd_step_0.95_e250_adam_wlr0.00015_we100_test_2013-01_2018-12_cnt300.csv</x:v>
      </x:c>
    </x:row>
    <x:row r="868" ht="20" customHeight="1">
      <x:c r="A868" s="27" t="str">
        <x:v>HCL</x:v>
      </x:c>
      <x:c r="B868" s="30" t="str">
        <x:v>2018-12</x:v>
      </x:c>
      <x:c r="C868" s="40" t="n">
        <x:v>300</x:v>
      </x:c>
      <x:c r="D868" s="41" t="n">
        <x:v>0.982</x:v>
      </x:c>
      <x:c r="E868" s="41" t="n">
        <x:v>0.0104</x:v>
      </x:c>
      <x:c r="F868" s="48" t="str">
        <x:v>experiments/results/hcl/300/07.22-17.19.40/gen_apigraph_cnt300_001_warm_lr0.003_sgd_step_0.95_e250_adam_wlr0.00015_we100_test_2013-01_2018-12_cnt300.csv</x:v>
      </x:c>
    </x:row>
    <x:row r="869" ht="20" customHeight="1">
      <x:c r="A869" s="27" t="str">
        <x:v>HCL-IDS</x:v>
      </x:c>
      <x:c r="B869" s="30" t="str">
        <x:v>2013-01</x:v>
      </x:c>
      <x:c r="C869" s="40" t="n">
        <x:v>50</x:v>
      </x:c>
      <x:c r="D869" s="41" t="n">
        <x:v>0.9549</x:v>
      </x:c>
      <x:c r="E869" s="41" t="n">
        <x:v>0.026</x:v>
      </x:c>
      <x:c r="F869" s="48" t="str">
        <x:v>experiments/results/hcl_ids/50/07.21-11.30.49/gen_apigraph_hcl_ids_cnt50_001_seed1_test_2013-01_2018-12.csv</x:v>
      </x:c>
    </x:row>
    <x:row r="870" ht="20" customHeight="1">
      <x:c r="A870" s="27" t="str">
        <x:v>HCL-IDS</x:v>
      </x:c>
      <x:c r="B870" s="30" t="str">
        <x:v>2013-02</x:v>
      </x:c>
      <x:c r="C870" s="40" t="n">
        <x:v>50</x:v>
      </x:c>
      <x:c r="D870" s="41" t="n">
        <x:v>0.9106</x:v>
      </x:c>
      <x:c r="E870" s="41" t="n">
        <x:v>0.1406</x:v>
      </x:c>
      <x:c r="F870" s="48" t="str">
        <x:v>experiments/results/hcl_ids/50/07.21-11.30.49/gen_apigraph_hcl_ids_cnt50_001_seed1_test_2013-01_2018-12.csv</x:v>
      </x:c>
    </x:row>
    <x:row r="871" ht="20" customHeight="1">
      <x:c r="A871" s="27" t="str">
        <x:v>HCL-IDS</x:v>
      </x:c>
      <x:c r="B871" s="30" t="str">
        <x:v>2013-03</x:v>
      </x:c>
      <x:c r="C871" s="40" t="n">
        <x:v>50</x:v>
      </x:c>
      <x:c r="D871" s="41" t="n">
        <x:v>0.9128</x:v>
      </x:c>
      <x:c r="E871" s="41" t="n">
        <x:v>0.1306</x:v>
      </x:c>
      <x:c r="F871" s="48" t="str">
        <x:v>experiments/results/hcl_ids/50/07.21-11.30.49/gen_apigraph_hcl_ids_cnt50_001_seed1_test_2013-01_2018-12.csv</x:v>
      </x:c>
    </x:row>
    <x:row r="872" ht="20" customHeight="1">
      <x:c r="A872" s="27" t="str">
        <x:v>HCL-IDS</x:v>
      </x:c>
      <x:c r="B872" s="30" t="str">
        <x:v>2013-04</x:v>
      </x:c>
      <x:c r="C872" s="40" t="n">
        <x:v>50</x:v>
      </x:c>
      <x:c r="D872" s="41" t="n">
        <x:v>0.9139</x:v>
      </x:c>
      <x:c r="E872" s="41" t="n">
        <x:v>0.1542</x:v>
      </x:c>
      <x:c r="F872" s="48" t="str">
        <x:v>experiments/results/hcl_ids/50/07.21-11.30.49/gen_apigraph_hcl_ids_cnt50_001_seed1_test_2013-01_2018-12.csv</x:v>
      </x:c>
    </x:row>
    <x:row r="873" ht="20" customHeight="1">
      <x:c r="A873" s="27" t="str">
        <x:v>HCL-IDS</x:v>
      </x:c>
      <x:c r="B873" s="30" t="str">
        <x:v>2013-05</x:v>
      </x:c>
      <x:c r="C873" s="40" t="n">
        <x:v>50</x:v>
      </x:c>
      <x:c r="D873" s="41" t="n">
        <x:v>0.8986</x:v>
      </x:c>
      <x:c r="E873" s="41" t="n">
        <x:v>0.1639</x:v>
      </x:c>
      <x:c r="F873" s="48" t="str">
        <x:v>experiments/results/hcl_ids/50/07.21-11.30.49/gen_apigraph_hcl_ids_cnt50_001_seed1_test_2013-01_2018-12.csv</x:v>
      </x:c>
    </x:row>
    <x:row r="874" ht="20" customHeight="1">
      <x:c r="A874" s="27" t="str">
        <x:v>HCL-IDS</x:v>
      </x:c>
      <x:c r="B874" s="30" t="str">
        <x:v>2013-06</x:v>
      </x:c>
      <x:c r="C874" s="40" t="n">
        <x:v>50</x:v>
      </x:c>
      <x:c r="D874" s="41" t="n">
        <x:v>0.9088</x:v>
      </x:c>
      <x:c r="E874" s="41" t="n">
        <x:v>0.145</x:v>
      </x:c>
      <x:c r="F874" s="48" t="str">
        <x:v>experiments/results/hcl_ids/50/07.21-11.30.49/gen_apigraph_hcl_ids_cnt50_001_seed1_test_2013-01_2018-12.csv</x:v>
      </x:c>
    </x:row>
    <x:row r="875" ht="20" customHeight="1">
      <x:c r="A875" s="27" t="str">
        <x:v>HCL-IDS</x:v>
      </x:c>
      <x:c r="B875" s="30" t="str">
        <x:v>2013-07</x:v>
      </x:c>
      <x:c r="C875" s="40" t="n">
        <x:v>50</x:v>
      </x:c>
      <x:c r="D875" s="41" t="n">
        <x:v>0.9121</x:v>
      </x:c>
      <x:c r="E875" s="41" t="n">
        <x:v>0.1186</x:v>
      </x:c>
      <x:c r="F875" s="48" t="str">
        <x:v>experiments/results/hcl_ids/50/07.21-11.30.49/gen_apigraph_hcl_ids_cnt50_001_seed1_test_2013-01_2018-12.csv</x:v>
      </x:c>
    </x:row>
    <x:row r="876" ht="20" customHeight="1">
      <x:c r="A876" s="27" t="str">
        <x:v>HCL-IDS</x:v>
      </x:c>
      <x:c r="B876" s="30" t="str">
        <x:v>2013-08</x:v>
      </x:c>
      <x:c r="C876" s="40" t="n">
        <x:v>50</x:v>
      </x:c>
      <x:c r="D876" s="41" t="n">
        <x:v>0.9111</x:v>
      </x:c>
      <x:c r="E876" s="41" t="n">
        <x:v>0.1322</x:v>
      </x:c>
      <x:c r="F876" s="48" t="str">
        <x:v>experiments/results/hcl_ids/50/07.21-11.30.49/gen_apigraph_hcl_ids_cnt50_001_seed1_test_2013-01_2018-12.csv</x:v>
      </x:c>
    </x:row>
    <x:row r="877" ht="20" customHeight="1">
      <x:c r="A877" s="27" t="str">
        <x:v>HCL-IDS</x:v>
      </x:c>
      <x:c r="B877" s="30" t="str">
        <x:v>2013-09</x:v>
      </x:c>
      <x:c r="C877" s="40" t="n">
        <x:v>50</x:v>
      </x:c>
      <x:c r="D877" s="41" t="n">
        <x:v>0.8842</x:v>
      </x:c>
      <x:c r="E877" s="41" t="n">
        <x:v>0.16</x:v>
      </x:c>
      <x:c r="F877" s="48" t="str">
        <x:v>experiments/results/hcl_ids/50/07.21-11.30.49/gen_apigraph_hcl_ids_cnt50_001_seed1_test_2013-01_2018-12.csv</x:v>
      </x:c>
    </x:row>
    <x:row r="878" ht="20" customHeight="1">
      <x:c r="A878" s="27" t="str">
        <x:v>HCL-IDS</x:v>
      </x:c>
      <x:c r="B878" s="30" t="str">
        <x:v>2013-10</x:v>
      </x:c>
      <x:c r="C878" s="40" t="n">
        <x:v>50</x:v>
      </x:c>
      <x:c r="D878" s="41" t="n">
        <x:v>0.859</x:v>
      </x:c>
      <x:c r="E878" s="41" t="n">
        <x:v>0.1884</x:v>
      </x:c>
      <x:c r="F878" s="48" t="str">
        <x:v>experiments/results/hcl_ids/50/07.21-11.30.49/gen_apigraph_hcl_ids_cnt50_001_seed1_test_2013-01_2018-12.csv</x:v>
      </x:c>
    </x:row>
    <x:row r="879" ht="20" customHeight="1">
      <x:c r="A879" s="27" t="str">
        <x:v>HCL-IDS</x:v>
      </x:c>
      <x:c r="B879" s="30" t="str">
        <x:v>2013-11</x:v>
      </x:c>
      <x:c r="C879" s="40" t="n">
        <x:v>50</x:v>
      </x:c>
      <x:c r="D879" s="41" t="n">
        <x:v>0.8757</x:v>
      </x:c>
      <x:c r="E879" s="41" t="n">
        <x:v>0.196</x:v>
      </x:c>
      <x:c r="F879" s="48" t="str">
        <x:v>experiments/results/hcl_ids/50/07.21-11.30.49/gen_apigraph_hcl_ids_cnt50_001_seed1_test_2013-01_2018-12.csv</x:v>
      </x:c>
    </x:row>
    <x:row r="880" ht="20" customHeight="1">
      <x:c r="A880" s="27" t="str">
        <x:v>HCL-IDS</x:v>
      </x:c>
      <x:c r="B880" s="30" t="str">
        <x:v>2013-12</x:v>
      </x:c>
      <x:c r="C880" s="40" t="n">
        <x:v>50</x:v>
      </x:c>
      <x:c r="D880" s="41" t="n">
        <x:v>0.8218</x:v>
      </x:c>
      <x:c r="E880" s="41" t="n">
        <x:v>0.2886</x:v>
      </x:c>
      <x:c r="F880" s="48" t="str">
        <x:v>experiments/results/hcl_ids/50/07.21-11.30.49/gen_apigraph_hcl_ids_cnt50_001_seed1_test_2013-01_2018-12.csv</x:v>
      </x:c>
    </x:row>
    <x:row r="881" ht="20" customHeight="1">
      <x:c r="A881" s="27" t="str">
        <x:v>HCL-IDS</x:v>
      </x:c>
      <x:c r="B881" s="30" t="str">
        <x:v>2014-01</x:v>
      </x:c>
      <x:c r="C881" s="40" t="n">
        <x:v>50</x:v>
      </x:c>
      <x:c r="D881" s="41" t="n">
        <x:v>0.833</x:v>
      </x:c>
      <x:c r="E881" s="41" t="n">
        <x:v>0.2515</x:v>
      </x:c>
      <x:c r="F881" s="48" t="str">
        <x:v>experiments/results/hcl_ids/50/07.21-11.30.49/gen_apigraph_hcl_ids_cnt50_001_seed1_test_2013-01_2018-12.csv</x:v>
      </x:c>
    </x:row>
    <x:row r="882" ht="20" customHeight="1">
      <x:c r="A882" s="27" t="str">
        <x:v>HCL-IDS</x:v>
      </x:c>
      <x:c r="B882" s="30" t="str">
        <x:v>2014-02</x:v>
      </x:c>
      <x:c r="C882" s="40" t="n">
        <x:v>50</x:v>
      </x:c>
      <x:c r="D882" s="41" t="n">
        <x:v>0.9118</x:v>
      </x:c>
      <x:c r="E882" s="41" t="n">
        <x:v>0.1232</x:v>
      </x:c>
      <x:c r="F882" s="48" t="str">
        <x:v>experiments/results/hcl_ids/50/07.21-11.30.49/gen_apigraph_hcl_ids_cnt50_001_seed1_test_2013-01_2018-12.csv</x:v>
      </x:c>
    </x:row>
    <x:row r="883" ht="20" customHeight="1">
      <x:c r="A883" s="27" t="str">
        <x:v>HCL-IDS</x:v>
      </x:c>
      <x:c r="B883" s="30" t="str">
        <x:v>2014-03</x:v>
      </x:c>
      <x:c r="C883" s="40" t="n">
        <x:v>50</x:v>
      </x:c>
      <x:c r="D883" s="41" t="n">
        <x:v>0.855</x:v>
      </x:c>
      <x:c r="E883" s="41" t="n">
        <x:v>0.2065</x:v>
      </x:c>
      <x:c r="F883" s="48" t="str">
        <x:v>experiments/results/hcl_ids/50/07.21-11.30.49/gen_apigraph_hcl_ids_cnt50_001_seed1_test_2013-01_2018-12.csv</x:v>
      </x:c>
    </x:row>
    <x:row r="884" ht="20" customHeight="1">
      <x:c r="A884" s="27" t="str">
        <x:v>HCL-IDS</x:v>
      </x:c>
      <x:c r="B884" s="30" t="str">
        <x:v>2014-04</x:v>
      </x:c>
      <x:c r="C884" s="40" t="n">
        <x:v>50</x:v>
      </x:c>
      <x:c r="D884" s="41" t="n">
        <x:v>0.8303</x:v>
      </x:c>
      <x:c r="E884" s="41" t="n">
        <x:v>0.2273</x:v>
      </x:c>
      <x:c r="F884" s="48" t="str">
        <x:v>experiments/results/hcl_ids/50/07.21-11.30.49/gen_apigraph_hcl_ids_cnt50_001_seed1_test_2013-01_2018-12.csv</x:v>
      </x:c>
    </x:row>
    <x:row r="885" ht="20" customHeight="1">
      <x:c r="A885" s="27" t="str">
        <x:v>HCL-IDS</x:v>
      </x:c>
      <x:c r="B885" s="30" t="str">
        <x:v>2014-05</x:v>
      </x:c>
      <x:c r="C885" s="40" t="n">
        <x:v>50</x:v>
      </x:c>
      <x:c r="D885" s="41" t="n">
        <x:v>0.8128</x:v>
      </x:c>
      <x:c r="E885" s="41" t="n">
        <x:v>0.2616</x:v>
      </x:c>
      <x:c r="F885" s="48" t="str">
        <x:v>experiments/results/hcl_ids/50/07.21-11.30.49/gen_apigraph_hcl_ids_cnt50_001_seed1_test_2013-01_2018-12.csv</x:v>
      </x:c>
    </x:row>
    <x:row r="886" ht="20" customHeight="1">
      <x:c r="A886" s="27" t="str">
        <x:v>HCL-IDS</x:v>
      </x:c>
      <x:c r="B886" s="30" t="str">
        <x:v>2014-06</x:v>
      </x:c>
      <x:c r="C886" s="40" t="n">
        <x:v>50</x:v>
      </x:c>
      <x:c r="D886" s="41" t="n">
        <x:v>0.7562</x:v>
      </x:c>
      <x:c r="E886" s="41" t="n">
        <x:v>0.3554</x:v>
      </x:c>
      <x:c r="F886" s="48" t="str">
        <x:v>experiments/results/hcl_ids/50/07.21-11.30.49/gen_apigraph_hcl_ids_cnt50_001_seed1_test_2013-01_2018-12.csv</x:v>
      </x:c>
    </x:row>
    <x:row r="887" ht="20" customHeight="1">
      <x:c r="A887" s="27" t="str">
        <x:v>HCL-IDS</x:v>
      </x:c>
      <x:c r="B887" s="30" t="str">
        <x:v>2014-07</x:v>
      </x:c>
      <x:c r="C887" s="40" t="n">
        <x:v>50</x:v>
      </x:c>
      <x:c r="D887" s="41" t="n">
        <x:v>0.7574</x:v>
      </x:c>
      <x:c r="E887" s="41" t="n">
        <x:v>0.3587</x:v>
      </x:c>
      <x:c r="F887" s="48" t="str">
        <x:v>experiments/results/hcl_ids/50/07.21-11.30.49/gen_apigraph_hcl_ids_cnt50_001_seed1_test_2013-01_2018-12.csv</x:v>
      </x:c>
    </x:row>
    <x:row r="888" ht="20" customHeight="1">
      <x:c r="A888" s="27" t="str">
        <x:v>HCL-IDS</x:v>
      </x:c>
      <x:c r="B888" s="30" t="str">
        <x:v>2014-08</x:v>
      </x:c>
      <x:c r="C888" s="40" t="n">
        <x:v>50</x:v>
      </x:c>
      <x:c r="D888" s="41" t="n">
        <x:v>0.7803</x:v>
      </x:c>
      <x:c r="E888" s="41" t="n">
        <x:v>0.3306</x:v>
      </x:c>
      <x:c r="F888" s="48" t="str">
        <x:v>experiments/results/hcl_ids/50/07.21-11.30.49/gen_apigraph_hcl_ids_cnt50_001_seed1_test_2013-01_2018-12.csv</x:v>
      </x:c>
    </x:row>
    <x:row r="889" ht="20" customHeight="1">
      <x:c r="A889" s="27" t="str">
        <x:v>HCL-IDS</x:v>
      </x:c>
      <x:c r="B889" s="30" t="str">
        <x:v>2014-09</x:v>
      </x:c>
      <x:c r="C889" s="40" t="n">
        <x:v>50</x:v>
      </x:c>
      <x:c r="D889" s="41" t="n">
        <x:v>0.811</x:v>
      </x:c>
      <x:c r="E889" s="41" t="n">
        <x:v>0.3033</x:v>
      </x:c>
      <x:c r="F889" s="48" t="str">
        <x:v>experiments/results/hcl_ids/50/07.21-11.30.49/gen_apigraph_hcl_ids_cnt50_001_seed1_test_2013-01_2018-12.csv</x:v>
      </x:c>
    </x:row>
    <x:row r="890" ht="20" customHeight="1">
      <x:c r="A890" s="27" t="str">
        <x:v>HCL-IDS</x:v>
      </x:c>
      <x:c r="B890" s="30" t="str">
        <x:v>2014-10</x:v>
      </x:c>
      <x:c r="C890" s="40" t="n">
        <x:v>50</x:v>
      </x:c>
      <x:c r="D890" s="41" t="n">
        <x:v>0.7703</x:v>
      </x:c>
      <x:c r="E890" s="41" t="n">
        <x:v>0.3415</x:v>
      </x:c>
      <x:c r="F890" s="48" t="str">
        <x:v>experiments/results/hcl_ids/50/07.21-11.30.49/gen_apigraph_hcl_ids_cnt50_001_seed1_test_2013-01_2018-12.csv</x:v>
      </x:c>
    </x:row>
    <x:row r="891" ht="20" customHeight="1">
      <x:c r="A891" s="27" t="str">
        <x:v>HCL-IDS</x:v>
      </x:c>
      <x:c r="B891" s="30" t="str">
        <x:v>2014-11</x:v>
      </x:c>
      <x:c r="C891" s="40" t="n">
        <x:v>50</x:v>
      </x:c>
      <x:c r="D891" s="41" t="n">
        <x:v>0.8278</x:v>
      </x:c>
      <x:c r="E891" s="41" t="n">
        <x:v>0.2637</x:v>
      </x:c>
      <x:c r="F891" s="48" t="str">
        <x:v>experiments/results/hcl_ids/50/07.21-11.30.49/gen_apigraph_hcl_ids_cnt50_001_seed1_test_2013-01_2018-12.csv</x:v>
      </x:c>
    </x:row>
    <x:row r="892" ht="20" customHeight="1">
      <x:c r="A892" s="27" t="str">
        <x:v>HCL-IDS</x:v>
      </x:c>
      <x:c r="B892" s="30" t="str">
        <x:v>2014-12</x:v>
      </x:c>
      <x:c r="C892" s="40" t="n">
        <x:v>50</x:v>
      </x:c>
      <x:c r="D892" s="41" t="n">
        <x:v>0.8421</x:v>
      </x:c>
      <x:c r="E892" s="41" t="n">
        <x:v>0.2535</x:v>
      </x:c>
      <x:c r="F892" s="48" t="str">
        <x:v>experiments/results/hcl_ids/50/07.21-11.30.49/gen_apigraph_hcl_ids_cnt50_001_seed1_test_2013-01_2018-12.csv</x:v>
      </x:c>
    </x:row>
    <x:row r="893" ht="20" customHeight="1">
      <x:c r="A893" s="27" t="str">
        <x:v>HCL-IDS</x:v>
      </x:c>
      <x:c r="B893" s="30" t="str">
        <x:v>2015-01</x:v>
      </x:c>
      <x:c r="C893" s="40" t="n">
        <x:v>50</x:v>
      </x:c>
      <x:c r="D893" s="41" t="n">
        <x:v>0.8453</x:v>
      </x:c>
      <x:c r="E893" s="41" t="n">
        <x:v>0.251</x:v>
      </x:c>
      <x:c r="F893" s="48" t="str">
        <x:v>experiments/results/hcl_ids/50/07.21-11.30.49/gen_apigraph_hcl_ids_cnt50_001_seed1_test_2013-01_2018-12.csv</x:v>
      </x:c>
    </x:row>
    <x:row r="894" ht="20" customHeight="1">
      <x:c r="A894" s="27" t="str">
        <x:v>HCL-IDS</x:v>
      </x:c>
      <x:c r="B894" s="30" t="str">
        <x:v>2015-02</x:v>
      </x:c>
      <x:c r="C894" s="40" t="n">
        <x:v>50</x:v>
      </x:c>
      <x:c r="D894" s="41" t="n">
        <x:v>0.9091</x:v>
      </x:c>
      <x:c r="E894" s="41" t="n">
        <x:v>0.1494</x:v>
      </x:c>
      <x:c r="F894" s="48" t="str">
        <x:v>experiments/results/hcl_ids/50/07.21-11.30.49/gen_apigraph_hcl_ids_cnt50_001_seed1_test_2013-01_2018-12.csv</x:v>
      </x:c>
    </x:row>
    <x:row r="895" ht="20" customHeight="1">
      <x:c r="A895" s="27" t="str">
        <x:v>HCL-IDS</x:v>
      </x:c>
      <x:c r="B895" s="30" t="str">
        <x:v>2015-03</x:v>
      </x:c>
      <x:c r="C895" s="40" t="n">
        <x:v>50</x:v>
      </x:c>
      <x:c r="D895" s="41" t="n">
        <x:v>0.8824</x:v>
      </x:c>
      <x:c r="E895" s="41" t="n">
        <x:v>0.2038</x:v>
      </x:c>
      <x:c r="F895" s="48" t="str">
        <x:v>experiments/results/hcl_ids/50/07.21-11.30.49/gen_apigraph_hcl_ids_cnt50_001_seed1_test_2013-01_2018-12.csv</x:v>
      </x:c>
    </x:row>
    <x:row r="896" ht="20" customHeight="1">
      <x:c r="A896" s="27" t="str">
        <x:v>HCL-IDS</x:v>
      </x:c>
      <x:c r="B896" s="30" t="str">
        <x:v>2015-04</x:v>
      </x:c>
      <x:c r="C896" s="40" t="n">
        <x:v>50</x:v>
      </x:c>
      <x:c r="D896" s="41" t="n">
        <x:v>0.911</x:v>
      </x:c>
      <x:c r="E896" s="41" t="n">
        <x:v>0.1456</x:v>
      </x:c>
      <x:c r="F896" s="48" t="str">
        <x:v>experiments/results/hcl_ids/50/07.21-11.30.49/gen_apigraph_hcl_ids_cnt50_001_seed1_test_2013-01_2018-12.csv</x:v>
      </x:c>
    </x:row>
    <x:row r="897" ht="20" customHeight="1">
      <x:c r="A897" s="27" t="str">
        <x:v>HCL-IDS</x:v>
      </x:c>
      <x:c r="B897" s="30" t="str">
        <x:v>2015-05</x:v>
      </x:c>
      <x:c r="C897" s="40" t="n">
        <x:v>50</x:v>
      </x:c>
      <x:c r="D897" s="41" t="n">
        <x:v>0.8834</x:v>
      </x:c>
      <x:c r="E897" s="41" t="n">
        <x:v>0.1892</x:v>
      </x:c>
      <x:c r="F897" s="48" t="str">
        <x:v>experiments/results/hcl_ids/50/07.21-11.30.49/gen_apigraph_hcl_ids_cnt50_001_seed1_test_2013-01_2018-12.csv</x:v>
      </x:c>
    </x:row>
    <x:row r="898" ht="20" customHeight="1">
      <x:c r="A898" s="27" t="str">
        <x:v>HCL-IDS</x:v>
      </x:c>
      <x:c r="B898" s="30" t="str">
        <x:v>2015-06</x:v>
      </x:c>
      <x:c r="C898" s="40" t="n">
        <x:v>50</x:v>
      </x:c>
      <x:c r="D898" s="41" t="n">
        <x:v>0.8709</x:v>
      </x:c>
      <x:c r="E898" s="41" t="n">
        <x:v>0.2101</x:v>
      </x:c>
      <x:c r="F898" s="48" t="str">
        <x:v>experiments/results/hcl_ids/50/07.21-11.30.49/gen_apigraph_hcl_ids_cnt50_001_seed1_test_2013-01_2018-12.csv</x:v>
      </x:c>
    </x:row>
    <x:row r="899" ht="20" customHeight="1">
      <x:c r="A899" s="27" t="str">
        <x:v>HCL-IDS</x:v>
      </x:c>
      <x:c r="B899" s="30" t="str">
        <x:v>2015-07</x:v>
      </x:c>
      <x:c r="C899" s="40" t="n">
        <x:v>50</x:v>
      </x:c>
      <x:c r="D899" s="41" t="n">
        <x:v>0.8273</x:v>
      </x:c>
      <x:c r="E899" s="41" t="n">
        <x:v>0.2767</x:v>
      </x:c>
      <x:c r="F899" s="48" t="str">
        <x:v>experiments/results/hcl_ids/50/07.21-11.30.49/gen_apigraph_hcl_ids_cnt50_001_seed1_test_2013-01_2018-12.csv</x:v>
      </x:c>
    </x:row>
    <x:row r="900" ht="20" customHeight="1">
      <x:c r="A900" s="27" t="str">
        <x:v>HCL-IDS</x:v>
      </x:c>
      <x:c r="B900" s="30" t="str">
        <x:v>2015-08</x:v>
      </x:c>
      <x:c r="C900" s="40" t="n">
        <x:v>50</x:v>
      </x:c>
      <x:c r="D900" s="41" t="n">
        <x:v>0.903</x:v>
      </x:c>
      <x:c r="E900" s="41" t="n">
        <x:v>0.1634</x:v>
      </x:c>
      <x:c r="F900" s="48" t="str">
        <x:v>experiments/results/hcl_ids/50/07.21-11.30.49/gen_apigraph_hcl_ids_cnt50_001_seed1_test_2013-01_2018-12.csv</x:v>
      </x:c>
    </x:row>
    <x:row r="901" ht="20" customHeight="1">
      <x:c r="A901" s="27" t="str">
        <x:v>HCL-IDS</x:v>
      </x:c>
      <x:c r="B901" s="30" t="str">
        <x:v>2015-09</x:v>
      </x:c>
      <x:c r="C901" s="40" t="n">
        <x:v>50</x:v>
      </x:c>
      <x:c r="D901" s="41" t="n">
        <x:v>0.7913</x:v>
      </x:c>
      <x:c r="E901" s="41" t="n">
        <x:v>0.3237</x:v>
      </x:c>
      <x:c r="F901" s="48" t="str">
        <x:v>experiments/results/hcl_ids/50/07.21-11.30.49/gen_apigraph_hcl_ids_cnt50_001_seed1_test_2013-01_2018-12.csv</x:v>
      </x:c>
    </x:row>
    <x:row r="902" ht="20" customHeight="1">
      <x:c r="A902" s="27" t="str">
        <x:v>HCL-IDS</x:v>
      </x:c>
      <x:c r="B902" s="30" t="str">
        <x:v>2015-10</x:v>
      </x:c>
      <x:c r="C902" s="40" t="n">
        <x:v>50</x:v>
      </x:c>
      <x:c r="D902" s="41" t="n">
        <x:v>0.7413</x:v>
      </x:c>
      <x:c r="E902" s="41" t="n">
        <x:v>0.3937</x:v>
      </x:c>
      <x:c r="F902" s="48" t="str">
        <x:v>experiments/results/hcl_ids/50/07.21-11.30.49/gen_apigraph_hcl_ids_cnt50_001_seed1_test_2013-01_2018-12.csv</x:v>
      </x:c>
    </x:row>
    <x:row r="903" ht="20" customHeight="1">
      <x:c r="A903" s="27" t="str">
        <x:v>HCL-IDS</x:v>
      </x:c>
      <x:c r="B903" s="30" t="str">
        <x:v>2015-11</x:v>
      </x:c>
      <x:c r="C903" s="40" t="n">
        <x:v>50</x:v>
      </x:c>
      <x:c r="D903" s="41" t="n">
        <x:v>0.8578</x:v>
      </x:c>
      <x:c r="E903" s="41" t="n">
        <x:v>0.2336</x:v>
      </x:c>
      <x:c r="F903" s="48" t="str">
        <x:v>experiments/results/hcl_ids/50/07.21-11.30.49/gen_apigraph_hcl_ids_cnt50_001_seed1_test_2013-01_2018-12.csv</x:v>
      </x:c>
    </x:row>
    <x:row r="904" ht="20" customHeight="1">
      <x:c r="A904" s="27" t="str">
        <x:v>HCL-IDS</x:v>
      </x:c>
      <x:c r="B904" s="30" t="str">
        <x:v>2015-12</x:v>
      </x:c>
      <x:c r="C904" s="40" t="n">
        <x:v>50</x:v>
      </x:c>
      <x:c r="D904" s="41" t="n">
        <x:v>0.8948</x:v>
      </x:c>
      <x:c r="E904" s="41" t="n">
        <x:v>0.1601</x:v>
      </x:c>
      <x:c r="F904" s="48" t="str">
        <x:v>experiments/results/hcl_ids/50/07.21-11.30.49/gen_apigraph_hcl_ids_cnt50_001_seed1_test_2013-01_2018-12.csv</x:v>
      </x:c>
    </x:row>
    <x:row r="905" ht="20" customHeight="1">
      <x:c r="A905" s="27" t="str">
        <x:v>HCL-IDS</x:v>
      </x:c>
      <x:c r="B905" s="30" t="str">
        <x:v>2016-01</x:v>
      </x:c>
      <x:c r="C905" s="40" t="n">
        <x:v>50</x:v>
      </x:c>
      <x:c r="D905" s="41" t="n">
        <x:v>0.841</x:v>
      </x:c>
      <x:c r="E905" s="41" t="n">
        <x:v>0.2477</x:v>
      </x:c>
      <x:c r="F905" s="48" t="str">
        <x:v>experiments/results/hcl_ids/50/07.21-11.30.49/gen_apigraph_hcl_ids_cnt50_001_seed1_test_2013-01_2018-12.csv</x:v>
      </x:c>
    </x:row>
    <x:row r="906" ht="20" customHeight="1">
      <x:c r="A906" s="27" t="str">
        <x:v>HCL-IDS</x:v>
      </x:c>
      <x:c r="B906" s="30" t="str">
        <x:v>2016-02</x:v>
      </x:c>
      <x:c r="C906" s="40" t="n">
        <x:v>50</x:v>
      </x:c>
      <x:c r="D906" s="41" t="n">
        <x:v>0.9332</x:v>
      </x:c>
      <x:c r="E906" s="41" t="n">
        <x:v>0.0991</x:v>
      </x:c>
      <x:c r="F906" s="48" t="str">
        <x:v>experiments/results/hcl_ids/50/07.21-11.30.49/gen_apigraph_hcl_ids_cnt50_001_seed1_test_2013-01_2018-12.csv</x:v>
      </x:c>
    </x:row>
    <x:row r="907" ht="20" customHeight="1">
      <x:c r="A907" s="27" t="str">
        <x:v>HCL-IDS</x:v>
      </x:c>
      <x:c r="B907" s="30" t="str">
        <x:v>2016-03</x:v>
      </x:c>
      <x:c r="C907" s="40" t="n">
        <x:v>50</x:v>
      </x:c>
      <x:c r="D907" s="41" t="n">
        <x:v>0.9238</x:v>
      </x:c>
      <x:c r="E907" s="41" t="n">
        <x:v>0.117</x:v>
      </x:c>
      <x:c r="F907" s="48" t="str">
        <x:v>experiments/results/hcl_ids/50/07.21-11.30.49/gen_apigraph_hcl_ids_cnt50_001_seed1_test_2013-01_2018-12.csv</x:v>
      </x:c>
    </x:row>
    <x:row r="908" ht="20" customHeight="1">
      <x:c r="A908" s="27" t="str">
        <x:v>HCL-IDS</x:v>
      </x:c>
      <x:c r="B908" s="30" t="str">
        <x:v>2016-04</x:v>
      </x:c>
      <x:c r="C908" s="40" t="n">
        <x:v>50</x:v>
      </x:c>
      <x:c r="D908" s="41" t="n">
        <x:v>0.891</x:v>
      </x:c>
      <x:c r="E908" s="41" t="n">
        <x:v>0.1389</x:v>
      </x:c>
      <x:c r="F908" s="48" t="str">
        <x:v>experiments/results/hcl_ids/50/07.21-11.30.49/gen_apigraph_hcl_ids_cnt50_001_seed1_test_2013-01_2018-12.csv</x:v>
      </x:c>
    </x:row>
    <x:row r="909" ht="20" customHeight="1">
      <x:c r="A909" s="27" t="str">
        <x:v>HCL-IDS</x:v>
      </x:c>
      <x:c r="B909" s="30" t="str">
        <x:v>2016-05</x:v>
      </x:c>
      <x:c r="C909" s="40" t="n">
        <x:v>50</x:v>
      </x:c>
      <x:c r="D909" s="41" t="n">
        <x:v>0.9191</x:v>
      </x:c>
      <x:c r="E909" s="41" t="n">
        <x:v>0.1426</x:v>
      </x:c>
      <x:c r="F909" s="48" t="str">
        <x:v>experiments/results/hcl_ids/50/07.21-11.30.49/gen_apigraph_hcl_ids_cnt50_001_seed1_test_2013-01_2018-12.csv</x:v>
      </x:c>
    </x:row>
    <x:row r="910" ht="20" customHeight="1">
      <x:c r="A910" s="27" t="str">
        <x:v>HCL-IDS</x:v>
      </x:c>
      <x:c r="B910" s="30" t="str">
        <x:v>2016-06</x:v>
      </x:c>
      <x:c r="C910" s="40" t="n">
        <x:v>50</x:v>
      </x:c>
      <x:c r="D910" s="41" t="n">
        <x:v>0.9302</x:v>
      </x:c>
      <x:c r="E910" s="41" t="n">
        <x:v>0.1057</x:v>
      </x:c>
      <x:c r="F910" s="48" t="str">
        <x:v>experiments/results/hcl_ids/50/07.21-11.30.49/gen_apigraph_hcl_ids_cnt50_001_seed1_test_2013-01_2018-12.csv</x:v>
      </x:c>
    </x:row>
    <x:row r="911" ht="20" customHeight="1">
      <x:c r="A911" s="27" t="str">
        <x:v>HCL-IDS</x:v>
      </x:c>
      <x:c r="B911" s="30" t="str">
        <x:v>2016-07</x:v>
      </x:c>
      <x:c r="C911" s="40" t="n">
        <x:v>50</x:v>
      </x:c>
      <x:c r="D911" s="41" t="n">
        <x:v>0.933</x:v>
      </x:c>
      <x:c r="E911" s="41" t="n">
        <x:v>0.0873</x:v>
      </x:c>
      <x:c r="F911" s="48" t="str">
        <x:v>experiments/results/hcl_ids/50/07.21-11.30.49/gen_apigraph_hcl_ids_cnt50_001_seed1_test_2013-01_2018-12.csv</x:v>
      </x:c>
    </x:row>
    <x:row r="912" ht="20" customHeight="1">
      <x:c r="A912" s="27" t="str">
        <x:v>HCL-IDS</x:v>
      </x:c>
      <x:c r="B912" s="30" t="str">
        <x:v>2016-08</x:v>
      </x:c>
      <x:c r="C912" s="40" t="n">
        <x:v>50</x:v>
      </x:c>
      <x:c r="D912" s="41" t="n">
        <x:v>0.9148</x:v>
      </x:c>
      <x:c r="E912" s="41" t="n">
        <x:v>0.1147</x:v>
      </x:c>
      <x:c r="F912" s="48" t="str">
        <x:v>experiments/results/hcl_ids/50/07.21-11.30.49/gen_apigraph_hcl_ids_cnt50_001_seed1_test_2013-01_2018-12.csv</x:v>
      </x:c>
    </x:row>
    <x:row r="913" ht="20" customHeight="1">
      <x:c r="A913" s="27" t="str">
        <x:v>HCL-IDS</x:v>
      </x:c>
      <x:c r="B913" s="30" t="str">
        <x:v>2016-09</x:v>
      </x:c>
      <x:c r="C913" s="40" t="n">
        <x:v>50</x:v>
      </x:c>
      <x:c r="D913" s="41" t="n">
        <x:v>0.9302</x:v>
      </x:c>
      <x:c r="E913" s="41" t="n">
        <x:v>0.1075</x:v>
      </x:c>
      <x:c r="F913" s="48" t="str">
        <x:v>experiments/results/hcl_ids/50/07.21-11.30.49/gen_apigraph_hcl_ids_cnt50_001_seed1_test_2013-01_2018-12.csv</x:v>
      </x:c>
    </x:row>
    <x:row r="914" ht="20" customHeight="1">
      <x:c r="A914" s="27" t="str">
        <x:v>HCL-IDS</x:v>
      </x:c>
      <x:c r="B914" s="30" t="str">
        <x:v>2016-10</x:v>
      </x:c>
      <x:c r="C914" s="40" t="n">
        <x:v>50</x:v>
      </x:c>
      <x:c r="D914" s="41" t="n">
        <x:v>0.9433</x:v>
      </x:c>
      <x:c r="E914" s="41" t="n">
        <x:v>0.0874</x:v>
      </x:c>
      <x:c r="F914" s="48" t="str">
        <x:v>experiments/results/hcl_ids/50/07.21-11.30.49/gen_apigraph_hcl_ids_cnt50_001_seed1_test_2013-01_2018-12.csv</x:v>
      </x:c>
    </x:row>
    <x:row r="915" ht="20" customHeight="1">
      <x:c r="A915" s="27" t="str">
        <x:v>HCL-IDS</x:v>
      </x:c>
      <x:c r="B915" s="30" t="str">
        <x:v>2016-11</x:v>
      </x:c>
      <x:c r="C915" s="40" t="n">
        <x:v>50</x:v>
      </x:c>
      <x:c r="D915" s="41" t="n">
        <x:v>0.9386</x:v>
      </x:c>
      <x:c r="E915" s="41" t="n">
        <x:v>0.097</x:v>
      </x:c>
      <x:c r="F915" s="48" t="str">
        <x:v>experiments/results/hcl_ids/50/07.21-11.30.49/gen_apigraph_hcl_ids_cnt50_001_seed1_test_2013-01_2018-12.csv</x:v>
      </x:c>
    </x:row>
    <x:row r="916" ht="20" customHeight="1">
      <x:c r="A916" s="27" t="str">
        <x:v>HCL-IDS</x:v>
      </x:c>
      <x:c r="B916" s="30" t="str">
        <x:v>2016-12</x:v>
      </x:c>
      <x:c r="C916" s="40" t="n">
        <x:v>50</x:v>
      </x:c>
      <x:c r="D916" s="41" t="n">
        <x:v>0.8632</x:v>
      </x:c>
      <x:c r="E916" s="41" t="n">
        <x:v>0.2085</x:v>
      </x:c>
      <x:c r="F916" s="48" t="str">
        <x:v>experiments/results/hcl_ids/50/07.21-11.30.49/gen_apigraph_hcl_ids_cnt50_001_seed1_test_2013-01_2018-12.csv</x:v>
      </x:c>
    </x:row>
    <x:row r="917" ht="20" customHeight="1">
      <x:c r="A917" s="27" t="str">
        <x:v>HCL-IDS</x:v>
      </x:c>
      <x:c r="B917" s="30" t="str">
        <x:v>2017-01</x:v>
      </x:c>
      <x:c r="C917" s="40" t="n">
        <x:v>50</x:v>
      </x:c>
      <x:c r="D917" s="41" t="n">
        <x:v>0.8856</x:v>
      </x:c>
      <x:c r="E917" s="41" t="n">
        <x:v>0.1656</x:v>
      </x:c>
      <x:c r="F917" s="48" t="str">
        <x:v>experiments/results/hcl_ids/50/07.21-11.30.49/gen_apigraph_hcl_ids_cnt50_001_seed1_test_2013-01_2018-12.csv</x:v>
      </x:c>
    </x:row>
    <x:row r="918" ht="20" customHeight="1">
      <x:c r="A918" s="27" t="str">
        <x:v>HCL-IDS</x:v>
      </x:c>
      <x:c r="B918" s="30" t="str">
        <x:v>2017-02</x:v>
      </x:c>
      <x:c r="C918" s="40" t="n">
        <x:v>50</x:v>
      </x:c>
      <x:c r="D918" s="41" t="n">
        <x:v>0.9244</x:v>
      </x:c>
      <x:c r="E918" s="41" t="n">
        <x:v>0.1033</x:v>
      </x:c>
      <x:c r="F918" s="48" t="str">
        <x:v>experiments/results/hcl_ids/50/07.21-11.30.49/gen_apigraph_hcl_ids_cnt50_001_seed1_test_2013-01_2018-12.csv</x:v>
      </x:c>
    </x:row>
    <x:row r="919" ht="20" customHeight="1">
      <x:c r="A919" s="27" t="str">
        <x:v>HCL-IDS</x:v>
      </x:c>
      <x:c r="B919" s="30" t="str">
        <x:v>2017-03</x:v>
      </x:c>
      <x:c r="C919" s="40" t="n">
        <x:v>50</x:v>
      </x:c>
      <x:c r="D919" s="41" t="n">
        <x:v>0.854</x:v>
      </x:c>
      <x:c r="E919" s="41" t="n">
        <x:v>0.1717</x:v>
      </x:c>
      <x:c r="F919" s="48" t="str">
        <x:v>experiments/results/hcl_ids/50/07.21-11.30.49/gen_apigraph_hcl_ids_cnt50_001_seed1_test_2013-01_2018-12.csv</x:v>
      </x:c>
    </x:row>
    <x:row r="920" ht="20" customHeight="1">
      <x:c r="A920" s="27" t="str">
        <x:v>HCL-IDS</x:v>
      </x:c>
      <x:c r="B920" s="30" t="str">
        <x:v>2017-04</x:v>
      </x:c>
      <x:c r="C920" s="40" t="n">
        <x:v>50</x:v>
      </x:c>
      <x:c r="D920" s="41" t="n">
        <x:v>0.8369</x:v>
      </x:c>
      <x:c r="E920" s="41" t="n">
        <x:v>0.2387</x:v>
      </x:c>
      <x:c r="F920" s="48" t="str">
        <x:v>experiments/results/hcl_ids/50/07.21-11.30.49/gen_apigraph_hcl_ids_cnt50_001_seed1_test_2013-01_2018-12.csv</x:v>
      </x:c>
    </x:row>
    <x:row r="921" ht="20" customHeight="1">
      <x:c r="A921" s="27" t="str">
        <x:v>HCL-IDS</x:v>
      </x:c>
      <x:c r="B921" s="30" t="str">
        <x:v>2017-05</x:v>
      </x:c>
      <x:c r="C921" s="40" t="n">
        <x:v>50</x:v>
      </x:c>
      <x:c r="D921" s="41" t="n">
        <x:v>0.8587</x:v>
      </x:c>
      <x:c r="E921" s="41" t="n">
        <x:v>0.202</x:v>
      </x:c>
      <x:c r="F921" s="48" t="str">
        <x:v>experiments/results/hcl_ids/50/07.21-11.30.49/gen_apigraph_hcl_ids_cnt50_001_seed1_test_2013-01_2018-12.csv</x:v>
      </x:c>
    </x:row>
    <x:row r="922" ht="20" customHeight="1">
      <x:c r="A922" s="27" t="str">
        <x:v>HCL-IDS</x:v>
      </x:c>
      <x:c r="B922" s="30" t="str">
        <x:v>2017-06</x:v>
      </x:c>
      <x:c r="C922" s="40" t="n">
        <x:v>50</x:v>
      </x:c>
      <x:c r="D922" s="41" t="n">
        <x:v>0.81</x:v>
      </x:c>
      <x:c r="E922" s="41" t="n">
        <x:v>0.2832</x:v>
      </x:c>
      <x:c r="F922" s="48" t="str">
        <x:v>experiments/results/hcl_ids/50/07.21-11.30.49/gen_apigraph_hcl_ids_cnt50_001_seed1_test_2013-01_2018-12.csv</x:v>
      </x:c>
    </x:row>
    <x:row r="923" ht="20" customHeight="1">
      <x:c r="A923" s="27" t="str">
        <x:v>HCL-IDS</x:v>
      </x:c>
      <x:c r="B923" s="30" t="str">
        <x:v>2017-07</x:v>
      </x:c>
      <x:c r="C923" s="40" t="n">
        <x:v>50</x:v>
      </x:c>
      <x:c r="D923" s="41" t="n">
        <x:v>0.8254</x:v>
      </x:c>
      <x:c r="E923" s="41" t="n">
        <x:v>0.1658</x:v>
      </x:c>
      <x:c r="F923" s="48" t="str">
        <x:v>experiments/results/hcl_ids/50/07.21-11.30.49/gen_apigraph_hcl_ids_cnt50_001_seed1_test_2013-01_2018-12.csv</x:v>
      </x:c>
    </x:row>
    <x:row r="924" ht="20" customHeight="1">
      <x:c r="A924" s="27" t="str">
        <x:v>HCL-IDS</x:v>
      </x:c>
      <x:c r="B924" s="30" t="str">
        <x:v>2017-08</x:v>
      </x:c>
      <x:c r="C924" s="40" t="n">
        <x:v>50</x:v>
      </x:c>
      <x:c r="D924" s="41" t="n">
        <x:v>0.9422</x:v>
      </x:c>
      <x:c r="E924" s="41" t="n">
        <x:v>0.0642</x:v>
      </x:c>
      <x:c r="F924" s="48" t="str">
        <x:v>experiments/results/hcl_ids/50/07.21-11.30.49/gen_apigraph_hcl_ids_cnt50_001_seed1_test_2013-01_2018-12.csv</x:v>
      </x:c>
    </x:row>
    <x:row r="925" ht="20" customHeight="1">
      <x:c r="A925" s="27" t="str">
        <x:v>HCL-IDS</x:v>
      </x:c>
      <x:c r="B925" s="30" t="str">
        <x:v>2017-09</x:v>
      </x:c>
      <x:c r="C925" s="40" t="n">
        <x:v>50</x:v>
      </x:c>
      <x:c r="D925" s="41" t="n">
        <x:v>0.8968</x:v>
      </x:c>
      <x:c r="E925" s="41" t="n">
        <x:v>0.1146</x:v>
      </x:c>
      <x:c r="F925" s="48" t="str">
        <x:v>experiments/results/hcl_ids/50/07.21-11.30.49/gen_apigraph_hcl_ids_cnt50_001_seed1_test_2013-01_2018-12.csv</x:v>
      </x:c>
    </x:row>
    <x:row r="926" ht="20" customHeight="1">
      <x:c r="A926" s="27" t="str">
        <x:v>HCL-IDS</x:v>
      </x:c>
      <x:c r="B926" s="30" t="str">
        <x:v>2017-10</x:v>
      </x:c>
      <x:c r="C926" s="40" t="n">
        <x:v>50</x:v>
      </x:c>
      <x:c r="D926" s="41" t="n">
        <x:v>0.88</x:v>
      </x:c>
      <x:c r="E926" s="41" t="n">
        <x:v>0.1538</x:v>
      </x:c>
      <x:c r="F926" s="48" t="str">
        <x:v>experiments/results/hcl_ids/50/07.21-11.30.49/gen_apigraph_hcl_ids_cnt50_001_seed1_test_2013-01_2018-12.csv</x:v>
      </x:c>
    </x:row>
    <x:row r="927" ht="20" customHeight="1">
      <x:c r="A927" s="27" t="str">
        <x:v>HCL-IDS</x:v>
      </x:c>
      <x:c r="B927" s="30" t="str">
        <x:v>2017-11</x:v>
      </x:c>
      <x:c r="C927" s="40" t="n">
        <x:v>50</x:v>
      </x:c>
      <x:c r="D927" s="41" t="n">
        <x:v>0.8778</x:v>
      </x:c>
      <x:c r="E927" s="41" t="n">
        <x:v>0.1413</x:v>
      </x:c>
      <x:c r="F927" s="48" t="str">
        <x:v>experiments/results/hcl_ids/50/07.21-11.30.49/gen_apigraph_hcl_ids_cnt50_001_seed1_test_2013-01_2018-12.csv</x:v>
      </x:c>
    </x:row>
    <x:row r="928" ht="20" customHeight="1">
      <x:c r="A928" s="27" t="str">
        <x:v>HCL-IDS</x:v>
      </x:c>
      <x:c r="B928" s="30" t="str">
        <x:v>2017-12</x:v>
      </x:c>
      <x:c r="C928" s="40" t="n">
        <x:v>50</x:v>
      </x:c>
      <x:c r="D928" s="41" t="n">
        <x:v>0.883</x:v>
      </x:c>
      <x:c r="E928" s="41" t="n">
        <x:v>0.064</x:v>
      </x:c>
      <x:c r="F928" s="48" t="str">
        <x:v>experiments/results/hcl_ids/50/07.21-11.30.49/gen_apigraph_hcl_ids_cnt50_001_seed1_test_2013-01_2018-12.csv</x:v>
      </x:c>
    </x:row>
    <x:row r="929" ht="20" customHeight="1">
      <x:c r="A929" s="27" t="str">
        <x:v>HCL-IDS</x:v>
      </x:c>
      <x:c r="B929" s="30" t="str">
        <x:v>2018-01</x:v>
      </x:c>
      <x:c r="C929" s="40" t="n">
        <x:v>50</x:v>
      </x:c>
      <x:c r="D929" s="41" t="n">
        <x:v>0.9</x:v>
      </x:c>
      <x:c r="E929" s="41" t="n">
        <x:v>0.1176</x:v>
      </x:c>
      <x:c r="F929" s="48" t="str">
        <x:v>experiments/results/hcl_ids/50/07.21-11.30.49/gen_apigraph_hcl_ids_cnt50_001_seed1_test_2013-01_2018-12.csv</x:v>
      </x:c>
    </x:row>
    <x:row r="930" ht="20" customHeight="1">
      <x:c r="A930" s="27" t="str">
        <x:v>HCL-IDS</x:v>
      </x:c>
      <x:c r="B930" s="30" t="str">
        <x:v>2018-02</x:v>
      </x:c>
      <x:c r="C930" s="40" t="n">
        <x:v>50</x:v>
      </x:c>
      <x:c r="D930" s="41" t="n">
        <x:v>0.913</x:v>
      </x:c>
      <x:c r="E930" s="41" t="n">
        <x:v>0.131</x:v>
      </x:c>
      <x:c r="F930" s="48" t="str">
        <x:v>experiments/results/hcl_ids/50/07.21-11.30.49/gen_apigraph_hcl_ids_cnt50_001_seed1_test_2013-01_2018-12.csv</x:v>
      </x:c>
    </x:row>
    <x:row r="931" ht="20" customHeight="1">
      <x:c r="A931" s="27" t="str">
        <x:v>HCL-IDS</x:v>
      </x:c>
      <x:c r="B931" s="30" t="str">
        <x:v>2018-03</x:v>
      </x:c>
      <x:c r="C931" s="40" t="n">
        <x:v>50</x:v>
      </x:c>
      <x:c r="D931" s="41" t="n">
        <x:v>0.9031</x:v>
      </x:c>
      <x:c r="E931" s="41" t="n">
        <x:v>0.0985</x:v>
      </x:c>
      <x:c r="F931" s="48" t="str">
        <x:v>experiments/results/hcl_ids/50/07.21-11.30.49/gen_apigraph_hcl_ids_cnt50_001_seed1_test_2013-01_2018-12.csv</x:v>
      </x:c>
    </x:row>
    <x:row r="932" ht="20" customHeight="1">
      <x:c r="A932" s="27" t="str">
        <x:v>HCL-IDS</x:v>
      </x:c>
      <x:c r="B932" s="30" t="str">
        <x:v>2018-04</x:v>
      </x:c>
      <x:c r="C932" s="40" t="n">
        <x:v>50</x:v>
      </x:c>
      <x:c r="D932" s="41" t="n">
        <x:v>0.9261</x:v>
      </x:c>
      <x:c r="E932" s="41" t="n">
        <x:v>0.0854</x:v>
      </x:c>
      <x:c r="F932" s="48" t="str">
        <x:v>experiments/results/hcl_ids/50/07.21-11.30.49/gen_apigraph_hcl_ids_cnt50_001_seed1_test_2013-01_2018-12.csv</x:v>
      </x:c>
    </x:row>
    <x:row r="933" ht="20" customHeight="1">
      <x:c r="A933" s="27" t="str">
        <x:v>HCL-IDS</x:v>
      </x:c>
      <x:c r="B933" s="30" t="str">
        <x:v>2018-05</x:v>
      </x:c>
      <x:c r="C933" s="40" t="n">
        <x:v>50</x:v>
      </x:c>
      <x:c r="D933" s="41" t="n">
        <x:v>0.7229</x:v>
      </x:c>
      <x:c r="E933" s="41" t="n">
        <x:v>0.0785</x:v>
      </x:c>
      <x:c r="F933" s="48" t="str">
        <x:v>experiments/results/hcl_ids/50/07.21-11.30.49/gen_apigraph_hcl_ids_cnt50_001_seed1_test_2013-01_2018-12.csv</x:v>
      </x:c>
    </x:row>
    <x:row r="934" ht="20" customHeight="1">
      <x:c r="A934" s="27" t="str">
        <x:v>HCL-IDS</x:v>
      </x:c>
      <x:c r="B934" s="30" t="str">
        <x:v>2018-06</x:v>
      </x:c>
      <x:c r="C934" s="40" t="n">
        <x:v>50</x:v>
      </x:c>
      <x:c r="D934" s="41" t="n">
        <x:v>0.8994</x:v>
      </x:c>
      <x:c r="E934" s="41" t="n">
        <x:v>0.1674</x:v>
      </x:c>
      <x:c r="F934" s="48" t="str">
        <x:v>experiments/results/hcl_ids/50/07.21-11.30.49/gen_apigraph_hcl_ids_cnt50_001_seed1_test_2013-01_2018-12.csv</x:v>
      </x:c>
    </x:row>
    <x:row r="935" ht="20" customHeight="1">
      <x:c r="A935" s="27" t="str">
        <x:v>HCL-IDS</x:v>
      </x:c>
      <x:c r="B935" s="30" t="str">
        <x:v>2018-07</x:v>
      </x:c>
      <x:c r="C935" s="40" t="n">
        <x:v>50</x:v>
      </x:c>
      <x:c r="D935" s="41" t="n">
        <x:v>0.895</x:v>
      </x:c>
      <x:c r="E935" s="41" t="n">
        <x:v>0.1701</x:v>
      </x:c>
      <x:c r="F935" s="48" t="str">
        <x:v>experiments/results/hcl_ids/50/07.21-11.30.49/gen_apigraph_hcl_ids_cnt50_001_seed1_test_2013-01_2018-12.csv</x:v>
      </x:c>
    </x:row>
    <x:row r="936" ht="20" customHeight="1">
      <x:c r="A936" s="27" t="str">
        <x:v>HCL-IDS</x:v>
      </x:c>
      <x:c r="B936" s="30" t="str">
        <x:v>2018-08</x:v>
      </x:c>
      <x:c r="C936" s="40" t="n">
        <x:v>50</x:v>
      </x:c>
      <x:c r="D936" s="41" t="n">
        <x:v>0.9023</x:v>
      </x:c>
      <x:c r="E936" s="41" t="n">
        <x:v>0.1271</x:v>
      </x:c>
      <x:c r="F936" s="48" t="str">
        <x:v>experiments/results/hcl_ids/50/07.21-11.30.49/gen_apigraph_hcl_ids_cnt50_001_seed1_test_2013-01_2018-12.csv</x:v>
      </x:c>
    </x:row>
    <x:row r="937" ht="20" customHeight="1">
      <x:c r="A937" s="27" t="str">
        <x:v>HCL-IDS</x:v>
      </x:c>
      <x:c r="B937" s="30" t="str">
        <x:v>2018-09</x:v>
      </x:c>
      <x:c r="C937" s="40" t="n">
        <x:v>50</x:v>
      </x:c>
      <x:c r="D937" s="41" t="n">
        <x:v>0.8723</x:v>
      </x:c>
      <x:c r="E937" s="41" t="n">
        <x:v>0.1943</x:v>
      </x:c>
      <x:c r="F937" s="48" t="str">
        <x:v>experiments/results/hcl_ids/50/07.21-11.30.49/gen_apigraph_hcl_ids_cnt50_001_seed1_test_2013-01_2018-12.csv</x:v>
      </x:c>
    </x:row>
    <x:row r="938" ht="20" customHeight="1">
      <x:c r="A938" s="27" t="str">
        <x:v>HCL-IDS</x:v>
      </x:c>
      <x:c r="B938" s="30" t="str">
        <x:v>2018-10</x:v>
      </x:c>
      <x:c r="C938" s="40" t="n">
        <x:v>50</x:v>
      </x:c>
      <x:c r="D938" s="41" t="n">
        <x:v>0.8842</x:v>
      </x:c>
      <x:c r="E938" s="41" t="n">
        <x:v>0.1866</x:v>
      </x:c>
      <x:c r="F938" s="48" t="str">
        <x:v>experiments/results/hcl_ids/50/07.21-11.30.49/gen_apigraph_hcl_ids_cnt50_001_seed1_test_2013-01_2018-12.csv</x:v>
      </x:c>
    </x:row>
    <x:row r="939" ht="20" customHeight="1">
      <x:c r="A939" s="27" t="str">
        <x:v>HCL-IDS</x:v>
      </x:c>
      <x:c r="B939" s="30" t="str">
        <x:v>2018-11</x:v>
      </x:c>
      <x:c r="C939" s="40" t="n">
        <x:v>50</x:v>
      </x:c>
      <x:c r="D939" s="41" t="n">
        <x:v>0.9489</x:v>
      </x:c>
      <x:c r="E939" s="41" t="n">
        <x:v>0.0627</x:v>
      </x:c>
      <x:c r="F939" s="48" t="str">
        <x:v>experiments/results/hcl_ids/50/07.21-11.30.49/gen_apigraph_hcl_ids_cnt50_001_seed1_test_2013-01_2018-12.csv</x:v>
      </x:c>
    </x:row>
    <x:row r="940" ht="20" customHeight="1">
      <x:c r="A940" s="27" t="str">
        <x:v>HCL-IDS</x:v>
      </x:c>
      <x:c r="B940" s="30" t="str">
        <x:v>2018-12</x:v>
      </x:c>
      <x:c r="C940" s="40" t="n">
        <x:v>50</x:v>
      </x:c>
      <x:c r="D940" s="41" t="n">
        <x:v>0.9612</x:v>
      </x:c>
      <x:c r="E940" s="41" t="n">
        <x:v>0.0363</x:v>
      </x:c>
      <x:c r="F940" s="48" t="str">
        <x:v>experiments/results/hcl_ids/50/07.21-11.30.49/gen_apigraph_hcl_ids_cnt50_001_seed1_test_2013-01_2018-12.csv</x:v>
      </x:c>
    </x:row>
    <x:row r="941" ht="20" customHeight="1">
      <x:c r="A941" s="27" t="str">
        <x:v>HCL-IDS</x:v>
      </x:c>
      <x:c r="B941" s="30" t="str">
        <x:v>2013-01</x:v>
      </x:c>
      <x:c r="C941" s="40" t="n">
        <x:v>100</x:v>
      </x:c>
      <x:c r="D941" s="41" t="n">
        <x:v>0.9549</x:v>
      </x:c>
      <x:c r="E941" s="41" t="n">
        <x:v>0.026</x:v>
      </x:c>
      <x:c r="F941" s="48" t="str">
        <x:v>experiments/results/hcl_ids/100/07.21-14.21.02/gen_apigraph_hcl_ids_cnt100_001_seed1_test_2013-01_2018-12.csv</x:v>
      </x:c>
    </x:row>
    <x:row r="942" ht="20" customHeight="1">
      <x:c r="A942" s="27" t="str">
        <x:v>HCL-IDS</x:v>
      </x:c>
      <x:c r="B942" s="30" t="str">
        <x:v>2013-02</x:v>
      </x:c>
      <x:c r="C942" s="40" t="n">
        <x:v>100</x:v>
      </x:c>
      <x:c r="D942" s="41" t="n">
        <x:v>0.91</x:v>
      </x:c>
      <x:c r="E942" s="41" t="n">
        <x:v>0.1469</x:v>
      </x:c>
      <x:c r="F942" s="48" t="str">
        <x:v>experiments/results/hcl_ids/100/07.21-14.21.02/gen_apigraph_hcl_ids_cnt100_001_seed1_test_2013-01_2018-12.csv</x:v>
      </x:c>
    </x:row>
    <x:row r="943" ht="20" customHeight="1">
      <x:c r="A943" s="27" t="str">
        <x:v>HCL-IDS</x:v>
      </x:c>
      <x:c r="B943" s="30" t="str">
        <x:v>2013-03</x:v>
      </x:c>
      <x:c r="C943" s="40" t="n">
        <x:v>100</x:v>
      </x:c>
      <x:c r="D943" s="41" t="n">
        <x:v>0.915</x:v>
      </x:c>
      <x:c r="E943" s="41" t="n">
        <x:v>0.1217</x:v>
      </x:c>
      <x:c r="F943" s="48" t="str">
        <x:v>experiments/results/hcl_ids/100/07.21-14.21.02/gen_apigraph_hcl_ids_cnt100_001_seed1_test_2013-01_2018-12.csv</x:v>
      </x:c>
    </x:row>
    <x:row r="944" ht="20" customHeight="1">
      <x:c r="A944" s="27" t="str">
        <x:v>HCL-IDS</x:v>
      </x:c>
      <x:c r="B944" s="30" t="str">
        <x:v>2013-04</x:v>
      </x:c>
      <x:c r="C944" s="40" t="n">
        <x:v>100</x:v>
      </x:c>
      <x:c r="D944" s="41" t="n">
        <x:v>0.9171</x:v>
      </x:c>
      <x:c r="E944" s="41" t="n">
        <x:v>0.1465</x:v>
      </x:c>
      <x:c r="F944" s="48" t="str">
        <x:v>experiments/results/hcl_ids/100/07.21-14.21.02/gen_apigraph_hcl_ids_cnt100_001_seed1_test_2013-01_2018-12.csv</x:v>
      </x:c>
    </x:row>
    <x:row r="945" ht="20" customHeight="1">
      <x:c r="A945" s="27" t="str">
        <x:v>HCL-IDS</x:v>
      </x:c>
      <x:c r="B945" s="30" t="str">
        <x:v>2013-05</x:v>
      </x:c>
      <x:c r="C945" s="40" t="n">
        <x:v>100</x:v>
      </x:c>
      <x:c r="D945" s="41" t="n">
        <x:v>0.8907</x:v>
      </x:c>
      <x:c r="E945" s="41" t="n">
        <x:v>0.1888</x:v>
      </x:c>
      <x:c r="F945" s="48" t="str">
        <x:v>experiments/results/hcl_ids/100/07.21-14.21.02/gen_apigraph_hcl_ids_cnt100_001_seed1_test_2013-01_2018-12.csv</x:v>
      </x:c>
    </x:row>
    <x:row r="946" ht="20" customHeight="1">
      <x:c r="A946" s="27" t="str">
        <x:v>HCL-IDS</x:v>
      </x:c>
      <x:c r="B946" s="30" t="str">
        <x:v>2013-06</x:v>
      </x:c>
      <x:c r="C946" s="40" t="n">
        <x:v>100</x:v>
      </x:c>
      <x:c r="D946" s="41" t="n">
        <x:v>0.9195</x:v>
      </x:c>
      <x:c r="E946" s="41" t="n">
        <x:v>0.1213</x:v>
      </x:c>
      <x:c r="F946" s="48" t="str">
        <x:v>experiments/results/hcl_ids/100/07.21-14.21.02/gen_apigraph_hcl_ids_cnt100_001_seed1_test_2013-01_2018-12.csv</x:v>
      </x:c>
    </x:row>
    <x:row r="947" ht="20" customHeight="1">
      <x:c r="A947" s="27" t="str">
        <x:v>HCL-IDS</x:v>
      </x:c>
      <x:c r="B947" s="30" t="str">
        <x:v>2013-07</x:v>
      </x:c>
      <x:c r="C947" s="40" t="n">
        <x:v>100</x:v>
      </x:c>
      <x:c r="D947" s="41" t="n">
        <x:v>0.93</x:v>
      </x:c>
      <x:c r="E947" s="41" t="n">
        <x:v>0.1067</x:v>
      </x:c>
      <x:c r="F947" s="48" t="str">
        <x:v>experiments/results/hcl_ids/100/07.21-14.21.02/gen_apigraph_hcl_ids_cnt100_001_seed1_test_2013-01_2018-12.csv</x:v>
      </x:c>
    </x:row>
    <x:row r="948" ht="20" customHeight="1">
      <x:c r="A948" s="27" t="str">
        <x:v>HCL-IDS</x:v>
      </x:c>
      <x:c r="B948" s="30" t="str">
        <x:v>2013-08</x:v>
      </x:c>
      <x:c r="C948" s="40" t="n">
        <x:v>100</x:v>
      </x:c>
      <x:c r="D948" s="41" t="n">
        <x:v>0.9287</x:v>
      </x:c>
      <x:c r="E948" s="41" t="n">
        <x:v>0.1116</x:v>
      </x:c>
      <x:c r="F948" s="48" t="str">
        <x:v>experiments/results/hcl_ids/100/07.21-14.21.02/gen_apigraph_hcl_ids_cnt100_001_seed1_test_2013-01_2018-12.csv</x:v>
      </x:c>
    </x:row>
    <x:row r="949" ht="20" customHeight="1">
      <x:c r="A949" s="27" t="str">
        <x:v>HCL-IDS</x:v>
      </x:c>
      <x:c r="B949" s="30" t="str">
        <x:v>2013-09</x:v>
      </x:c>
      <x:c r="C949" s="40" t="n">
        <x:v>100</x:v>
      </x:c>
      <x:c r="D949" s="41" t="n">
        <x:v>0.8804</x:v>
      </x:c>
      <x:c r="E949" s="41" t="n">
        <x:v>0.168</x:v>
      </x:c>
      <x:c r="F949" s="48" t="str">
        <x:v>experiments/results/hcl_ids/100/07.21-14.21.02/gen_apigraph_hcl_ids_cnt100_001_seed1_test_2013-01_2018-12.csv</x:v>
      </x:c>
    </x:row>
    <x:row r="950" ht="20" customHeight="1">
      <x:c r="A950" s="27" t="str">
        <x:v>HCL-IDS</x:v>
      </x:c>
      <x:c r="B950" s="30" t="str">
        <x:v>2013-10</x:v>
      </x:c>
      <x:c r="C950" s="40" t="n">
        <x:v>100</x:v>
      </x:c>
      <x:c r="D950" s="41" t="n">
        <x:v>0.8865</x:v>
      </x:c>
      <x:c r="E950" s="41" t="n">
        <x:v>0.1703</x:v>
      </x:c>
      <x:c r="F950" s="48" t="str">
        <x:v>experiments/results/hcl_ids/100/07.21-14.21.02/gen_apigraph_hcl_ids_cnt100_001_seed1_test_2013-01_2018-12.csv</x:v>
      </x:c>
    </x:row>
    <x:row r="951" ht="20" customHeight="1">
      <x:c r="A951" s="27" t="str">
        <x:v>HCL-IDS</x:v>
      </x:c>
      <x:c r="B951" s="30" t="str">
        <x:v>2013-11</x:v>
      </x:c>
      <x:c r="C951" s="40" t="n">
        <x:v>100</x:v>
      </x:c>
      <x:c r="D951" s="41" t="n">
        <x:v>0.8641</x:v>
      </x:c>
      <x:c r="E951" s="41" t="n">
        <x:v>0.2162</x:v>
      </x:c>
      <x:c r="F951" s="48" t="str">
        <x:v>experiments/results/hcl_ids/100/07.21-14.21.02/gen_apigraph_hcl_ids_cnt100_001_seed1_test_2013-01_2018-12.csv</x:v>
      </x:c>
    </x:row>
    <x:row r="952" ht="20" customHeight="1">
      <x:c r="A952" s="27" t="str">
        <x:v>HCL-IDS</x:v>
      </x:c>
      <x:c r="B952" s="30" t="str">
        <x:v>2013-12</x:v>
      </x:c>
      <x:c r="C952" s="40" t="n">
        <x:v>100</x:v>
      </x:c>
      <x:c r="D952" s="41" t="n">
        <x:v>0.9357</x:v>
      </x:c>
      <x:c r="E952" s="41" t="n">
        <x:v>0.1102</x:v>
      </x:c>
      <x:c r="F952" s="48" t="str">
        <x:v>experiments/results/hcl_ids/100/07.21-14.21.02/gen_apigraph_hcl_ids_cnt100_001_seed1_test_2013-01_2018-12.csv</x:v>
      </x:c>
    </x:row>
    <x:row r="953" ht="20" customHeight="1">
      <x:c r="A953" s="27" t="str">
        <x:v>HCL-IDS</x:v>
      </x:c>
      <x:c r="B953" s="30" t="str">
        <x:v>2014-01</x:v>
      </x:c>
      <x:c r="C953" s="40" t="n">
        <x:v>100</x:v>
      </x:c>
      <x:c r="D953" s="41" t="n">
        <x:v>0.8364</x:v>
      </x:c>
      <x:c r="E953" s="41" t="n">
        <x:v>0.2535</x:v>
      </x:c>
      <x:c r="F953" s="48" t="str">
        <x:v>experiments/results/hcl_ids/100/07.21-14.21.02/gen_apigraph_hcl_ids_cnt100_001_seed1_test_2013-01_2018-12.csv</x:v>
      </x:c>
    </x:row>
    <x:row r="954" ht="20" customHeight="1">
      <x:c r="A954" s="27" t="str">
        <x:v>HCL-IDS</x:v>
      </x:c>
      <x:c r="B954" s="30" t="str">
        <x:v>2014-02</x:v>
      </x:c>
      <x:c r="C954" s="40" t="n">
        <x:v>100</x:v>
      </x:c>
      <x:c r="D954" s="41" t="n">
        <x:v>0.9288</x:v>
      </x:c>
      <x:c r="E954" s="41" t="n">
        <x:v>0.1172</x:v>
      </x:c>
      <x:c r="F954" s="48" t="str">
        <x:v>experiments/results/hcl_ids/100/07.21-14.21.02/gen_apigraph_hcl_ids_cnt100_001_seed1_test_2013-01_2018-12.csv</x:v>
      </x:c>
    </x:row>
    <x:row r="955" ht="20" customHeight="1">
      <x:c r="A955" s="27" t="str">
        <x:v>HCL-IDS</x:v>
      </x:c>
      <x:c r="B955" s="30" t="str">
        <x:v>2014-03</x:v>
      </x:c>
      <x:c r="C955" s="40" t="n">
        <x:v>100</x:v>
      </x:c>
      <x:c r="D955" s="41" t="n">
        <x:v>0.8877</x:v>
      </x:c>
      <x:c r="E955" s="41" t="n">
        <x:v>0.1842</x:v>
      </x:c>
      <x:c r="F955" s="48" t="str">
        <x:v>experiments/results/hcl_ids/100/07.21-14.21.02/gen_apigraph_hcl_ids_cnt100_001_seed1_test_2013-01_2018-12.csv</x:v>
      </x:c>
    </x:row>
    <x:row r="956" ht="20" customHeight="1">
      <x:c r="A956" s="27" t="str">
        <x:v>HCL-IDS</x:v>
      </x:c>
      <x:c r="B956" s="30" t="str">
        <x:v>2014-04</x:v>
      </x:c>
      <x:c r="C956" s="40" t="n">
        <x:v>100</x:v>
      </x:c>
      <x:c r="D956" s="41" t="n">
        <x:v>0.8779</x:v>
      </x:c>
      <x:c r="E956" s="41" t="n">
        <x:v>0.175</x:v>
      </x:c>
      <x:c r="F956" s="48" t="str">
        <x:v>experiments/results/hcl_ids/100/07.21-14.21.02/gen_apigraph_hcl_ids_cnt100_001_seed1_test_2013-01_2018-12.csv</x:v>
      </x:c>
    </x:row>
    <x:row r="957" ht="20" customHeight="1">
      <x:c r="A957" s="27" t="str">
        <x:v>HCL-IDS</x:v>
      </x:c>
      <x:c r="B957" s="30" t="str">
        <x:v>2014-05</x:v>
      </x:c>
      <x:c r="C957" s="40" t="n">
        <x:v>100</x:v>
      </x:c>
      <x:c r="D957" s="41" t="n">
        <x:v>0.886</x:v>
      </x:c>
      <x:c r="E957" s="41" t="n">
        <x:v>0.1791</x:v>
      </x:c>
      <x:c r="F957" s="48" t="str">
        <x:v>experiments/results/hcl_ids/100/07.21-14.21.02/gen_apigraph_hcl_ids_cnt100_001_seed1_test_2013-01_2018-12.csv</x:v>
      </x:c>
    </x:row>
    <x:row r="958" ht="20" customHeight="1">
      <x:c r="A958" s="27" t="str">
        <x:v>HCL-IDS</x:v>
      </x:c>
      <x:c r="B958" s="30" t="str">
        <x:v>2014-06</x:v>
      </x:c>
      <x:c r="C958" s="40" t="n">
        <x:v>100</x:v>
      </x:c>
      <x:c r="D958" s="41" t="n">
        <x:v>0.7716</x:v>
      </x:c>
      <x:c r="E958" s="41" t="n">
        <x:v>0.3454</x:v>
      </x:c>
      <x:c r="F958" s="48" t="str">
        <x:v>experiments/results/hcl_ids/100/07.21-14.21.02/gen_apigraph_hcl_ids_cnt100_001_seed1_test_2013-01_2018-12.csv</x:v>
      </x:c>
    </x:row>
    <x:row r="959" ht="20" customHeight="1">
      <x:c r="A959" s="27" t="str">
        <x:v>HCL-IDS</x:v>
      </x:c>
      <x:c r="B959" s="30" t="str">
        <x:v>2014-07</x:v>
      </x:c>
      <x:c r="C959" s="40" t="n">
        <x:v>100</x:v>
      </x:c>
      <x:c r="D959" s="41" t="n">
        <x:v>0.7962</x:v>
      </x:c>
      <x:c r="E959" s="41" t="n">
        <x:v>0.3226</x:v>
      </x:c>
      <x:c r="F959" s="48" t="str">
        <x:v>experiments/results/hcl_ids/100/07.21-14.21.02/gen_apigraph_hcl_ids_cnt100_001_seed1_test_2013-01_2018-12.csv</x:v>
      </x:c>
    </x:row>
    <x:row r="960" ht="20" customHeight="1">
      <x:c r="A960" s="27" t="str">
        <x:v>HCL-IDS</x:v>
      </x:c>
      <x:c r="B960" s="30" t="str">
        <x:v>2014-08</x:v>
      </x:c>
      <x:c r="C960" s="40" t="n">
        <x:v>100</x:v>
      </x:c>
      <x:c r="D960" s="41" t="n">
        <x:v>0.8478</x:v>
      </x:c>
      <x:c r="E960" s="41" t="n">
        <x:v>0.2419</x:v>
      </x:c>
      <x:c r="F960" s="48" t="str">
        <x:v>experiments/results/hcl_ids/100/07.21-14.21.02/gen_apigraph_hcl_ids_cnt100_001_seed1_test_2013-01_2018-12.csv</x:v>
      </x:c>
    </x:row>
    <x:row r="961" ht="20" customHeight="1">
      <x:c r="A961" s="27" t="str">
        <x:v>HCL-IDS</x:v>
      </x:c>
      <x:c r="B961" s="30" t="str">
        <x:v>2014-09</x:v>
      </x:c>
      <x:c r="C961" s="40" t="n">
        <x:v>100</x:v>
      </x:c>
      <x:c r="D961" s="41" t="n">
        <x:v>0.8647</x:v>
      </x:c>
      <x:c r="E961" s="41" t="n">
        <x:v>0.2275</x:v>
      </x:c>
      <x:c r="F961" s="48" t="str">
        <x:v>experiments/results/hcl_ids/100/07.21-14.21.02/gen_apigraph_hcl_ids_cnt100_001_seed1_test_2013-01_2018-12.csv</x:v>
      </x:c>
    </x:row>
    <x:row r="962" ht="20" customHeight="1">
      <x:c r="A962" s="27" t="str">
        <x:v>HCL-IDS</x:v>
      </x:c>
      <x:c r="B962" s="30" t="str">
        <x:v>2014-10</x:v>
      </x:c>
      <x:c r="C962" s="40" t="n">
        <x:v>100</x:v>
      </x:c>
      <x:c r="D962" s="41" t="n">
        <x:v>0.8109</x:v>
      </x:c>
      <x:c r="E962" s="41" t="n">
        <x:v>0.2986</x:v>
      </x:c>
      <x:c r="F962" s="48" t="str">
        <x:v>experiments/results/hcl_ids/100/07.21-14.21.02/gen_apigraph_hcl_ids_cnt100_001_seed1_test_2013-01_2018-12.csv</x:v>
      </x:c>
    </x:row>
    <x:row r="963" ht="20" customHeight="1">
      <x:c r="A963" s="27" t="str">
        <x:v>HCL-IDS</x:v>
      </x:c>
      <x:c r="B963" s="30" t="str">
        <x:v>2014-11</x:v>
      </x:c>
      <x:c r="C963" s="40" t="n">
        <x:v>100</x:v>
      </x:c>
      <x:c r="D963" s="41" t="n">
        <x:v>0.9154</x:v>
      </x:c>
      <x:c r="E963" s="41" t="n">
        <x:v>0.1217</x:v>
      </x:c>
      <x:c r="F963" s="48" t="str">
        <x:v>experiments/results/hcl_ids/100/07.21-14.21.02/gen_apigraph_hcl_ids_cnt100_001_seed1_test_2013-01_2018-12.csv</x:v>
      </x:c>
    </x:row>
    <x:row r="964" ht="20" customHeight="1">
      <x:c r="A964" s="27" t="str">
        <x:v>HCL-IDS</x:v>
      </x:c>
      <x:c r="B964" s="30" t="str">
        <x:v>2014-12</x:v>
      </x:c>
      <x:c r="C964" s="40" t="n">
        <x:v>100</x:v>
      </x:c>
      <x:c r="D964" s="41" t="n">
        <x:v>0.868</x:v>
      </x:c>
      <x:c r="E964" s="41" t="n">
        <x:v>0.213</x:v>
      </x:c>
      <x:c r="F964" s="48" t="str">
        <x:v>experiments/results/hcl_ids/100/07.21-14.21.02/gen_apigraph_hcl_ids_cnt100_001_seed1_test_2013-01_2018-12.csv</x:v>
      </x:c>
    </x:row>
    <x:row r="965" ht="20" customHeight="1">
      <x:c r="A965" s="27" t="str">
        <x:v>HCL-IDS</x:v>
      </x:c>
      <x:c r="B965" s="30" t="str">
        <x:v>2015-01</x:v>
      </x:c>
      <x:c r="C965" s="40" t="n">
        <x:v>100</x:v>
      </x:c>
      <x:c r="D965" s="41" t="n">
        <x:v>0.874</x:v>
      </x:c>
      <x:c r="E965" s="41" t="n">
        <x:v>0.2092</x:v>
      </x:c>
      <x:c r="F965" s="48" t="str">
        <x:v>experiments/results/hcl_ids/100/07.21-14.21.02/gen_apigraph_hcl_ids_cnt100_001_seed1_test_2013-01_2018-12.csv</x:v>
      </x:c>
    </x:row>
    <x:row r="966" ht="20" customHeight="1">
      <x:c r="A966" s="27" t="str">
        <x:v>HCL-IDS</x:v>
      </x:c>
      <x:c r="B966" s="30" t="str">
        <x:v>2015-02</x:v>
      </x:c>
      <x:c r="C966" s="40" t="n">
        <x:v>100</x:v>
      </x:c>
      <x:c r="D966" s="41" t="n">
        <x:v>0.929</x:v>
      </x:c>
      <x:c r="E966" s="41" t="n">
        <x:v>0.1183</x:v>
      </x:c>
      <x:c r="F966" s="48" t="str">
        <x:v>experiments/results/hcl_ids/100/07.21-14.21.02/gen_apigraph_hcl_ids_cnt100_001_seed1_test_2013-01_2018-12.csv</x:v>
      </x:c>
    </x:row>
    <x:row r="967" ht="20" customHeight="1">
      <x:c r="A967" s="27" t="str">
        <x:v>HCL-IDS</x:v>
      </x:c>
      <x:c r="B967" s="30" t="str">
        <x:v>2015-03</x:v>
      </x:c>
      <x:c r="C967" s="40" t="n">
        <x:v>100</x:v>
      </x:c>
      <x:c r="D967" s="41" t="n">
        <x:v>0.9142</x:v>
      </x:c>
      <x:c r="E967" s="41" t="n">
        <x:v>0.1401</x:v>
      </x:c>
      <x:c r="F967" s="48" t="str">
        <x:v>experiments/results/hcl_ids/100/07.21-14.21.02/gen_apigraph_hcl_ids_cnt100_001_seed1_test_2013-01_2018-12.csv</x:v>
      </x:c>
    </x:row>
    <x:row r="968" ht="20" customHeight="1">
      <x:c r="A968" s="27" t="str">
        <x:v>HCL-IDS</x:v>
      </x:c>
      <x:c r="B968" s="30" t="str">
        <x:v>2015-04</x:v>
      </x:c>
      <x:c r="C968" s="40" t="n">
        <x:v>100</x:v>
      </x:c>
      <x:c r="D968" s="41" t="n">
        <x:v>0.935</x:v>
      </x:c>
      <x:c r="E968" s="41" t="n">
        <x:v>0.1071</x:v>
      </x:c>
      <x:c r="F968" s="48" t="str">
        <x:v>experiments/results/hcl_ids/100/07.21-14.21.02/gen_apigraph_hcl_ids_cnt100_001_seed1_test_2013-01_2018-12.csv</x:v>
      </x:c>
    </x:row>
    <x:row r="969" ht="20" customHeight="1">
      <x:c r="A969" s="27" t="str">
        <x:v>HCL-IDS</x:v>
      </x:c>
      <x:c r="B969" s="30" t="str">
        <x:v>2015-05</x:v>
      </x:c>
      <x:c r="C969" s="40" t="n">
        <x:v>100</x:v>
      </x:c>
      <x:c r="D969" s="41" t="n">
        <x:v>0.922</x:v>
      </x:c>
      <x:c r="E969" s="41" t="n">
        <x:v>0.1216</x:v>
      </x:c>
      <x:c r="F969" s="48" t="str">
        <x:v>experiments/results/hcl_ids/100/07.21-14.21.02/gen_apigraph_hcl_ids_cnt100_001_seed1_test_2013-01_2018-12.csv</x:v>
      </x:c>
    </x:row>
    <x:row r="970" ht="20" customHeight="1">
      <x:c r="A970" s="27" t="str">
        <x:v>HCL-IDS</x:v>
      </x:c>
      <x:c r="B970" s="30" t="str">
        <x:v>2015-06</x:v>
      </x:c>
      <x:c r="C970" s="40" t="n">
        <x:v>100</x:v>
      </x:c>
      <x:c r="D970" s="41" t="n">
        <x:v>0.9148</x:v>
      </x:c>
      <x:c r="E970" s="41" t="n">
        <x:v>0.1422</x:v>
      </x:c>
      <x:c r="F970" s="48" t="str">
        <x:v>experiments/results/hcl_ids/100/07.21-14.21.02/gen_apigraph_hcl_ids_cnt100_001_seed1_test_2013-01_2018-12.csv</x:v>
      </x:c>
    </x:row>
    <x:row r="971" ht="20" customHeight="1">
      <x:c r="A971" s="27" t="str">
        <x:v>HCL-IDS</x:v>
      </x:c>
      <x:c r="B971" s="30" t="str">
        <x:v>2015-07</x:v>
      </x:c>
      <x:c r="C971" s="40" t="n">
        <x:v>100</x:v>
      </x:c>
      <x:c r="D971" s="41" t="n">
        <x:v>0.8881</x:v>
      </x:c>
      <x:c r="E971" s="41" t="n">
        <x:v>0.1845</x:v>
      </x:c>
      <x:c r="F971" s="48" t="str">
        <x:v>experiments/results/hcl_ids/100/07.21-14.21.02/gen_apigraph_hcl_ids_cnt100_001_seed1_test_2013-01_2018-12.csv</x:v>
      </x:c>
    </x:row>
    <x:row r="972" ht="20" customHeight="1">
      <x:c r="A972" s="27" t="str">
        <x:v>HCL-IDS</x:v>
      </x:c>
      <x:c r="B972" s="30" t="str">
        <x:v>2015-08</x:v>
      </x:c>
      <x:c r="C972" s="40" t="n">
        <x:v>100</x:v>
      </x:c>
      <x:c r="D972" s="41" t="n">
        <x:v>0.9317</x:v>
      </x:c>
      <x:c r="E972" s="41" t="n">
        <x:v>0.1078</x:v>
      </x:c>
      <x:c r="F972" s="48" t="str">
        <x:v>experiments/results/hcl_ids/100/07.21-14.21.02/gen_apigraph_hcl_ids_cnt100_001_seed1_test_2013-01_2018-12.csv</x:v>
      </x:c>
    </x:row>
    <x:row r="973" ht="20" customHeight="1">
      <x:c r="A973" s="27" t="str">
        <x:v>HCL-IDS</x:v>
      </x:c>
      <x:c r="B973" s="30" t="str">
        <x:v>2015-09</x:v>
      </x:c>
      <x:c r="C973" s="40" t="n">
        <x:v>100</x:v>
      </x:c>
      <x:c r="D973" s="41" t="n">
        <x:v>0.82</x:v>
      </x:c>
      <x:c r="E973" s="41" t="n">
        <x:v>0.2863</x:v>
      </x:c>
      <x:c r="F973" s="48" t="str">
        <x:v>experiments/results/hcl_ids/100/07.21-14.21.02/gen_apigraph_hcl_ids_cnt100_001_seed1_test_2013-01_2018-12.csv</x:v>
      </x:c>
    </x:row>
    <x:row r="974" ht="20" customHeight="1">
      <x:c r="A974" s="27" t="str">
        <x:v>HCL-IDS</x:v>
      </x:c>
      <x:c r="B974" s="30" t="str">
        <x:v>2015-10</x:v>
      </x:c>
      <x:c r="C974" s="40" t="n">
        <x:v>100</x:v>
      </x:c>
      <x:c r="D974" s="41" t="n">
        <x:v>0.803</x:v>
      </x:c>
      <x:c r="E974" s="41" t="n">
        <x:v>0.3137</x:v>
      </x:c>
      <x:c r="F974" s="48" t="str">
        <x:v>experiments/results/hcl_ids/100/07.21-14.21.02/gen_apigraph_hcl_ids_cnt100_001_seed1_test_2013-01_2018-12.csv</x:v>
      </x:c>
    </x:row>
    <x:row r="975" ht="20" customHeight="1">
      <x:c r="A975" s="27" t="str">
        <x:v>HCL-IDS</x:v>
      </x:c>
      <x:c r="B975" s="30" t="str">
        <x:v>2015-11</x:v>
      </x:c>
      <x:c r="C975" s="40" t="n">
        <x:v>100</x:v>
      </x:c>
      <x:c r="D975" s="41" t="n">
        <x:v>0.8681</x:v>
      </x:c>
      <x:c r="E975" s="41" t="n">
        <x:v>0.2111</x:v>
      </x:c>
      <x:c r="F975" s="48" t="str">
        <x:v>experiments/results/hcl_ids/100/07.21-14.21.02/gen_apigraph_hcl_ids_cnt100_001_seed1_test_2013-01_2018-12.csv</x:v>
      </x:c>
    </x:row>
    <x:row r="976" ht="20" customHeight="1">
      <x:c r="A976" s="27" t="str">
        <x:v>HCL-IDS</x:v>
      </x:c>
      <x:c r="B976" s="30" t="str">
        <x:v>2015-12</x:v>
      </x:c>
      <x:c r="C976" s="40" t="n">
        <x:v>100</x:v>
      </x:c>
      <x:c r="D976" s="41" t="n">
        <x:v>0.9232</x:v>
      </x:c>
      <x:c r="E976" s="41" t="n">
        <x:v>0.1247</x:v>
      </x:c>
      <x:c r="F976" s="48" t="str">
        <x:v>experiments/results/hcl_ids/100/07.21-14.21.02/gen_apigraph_hcl_ids_cnt100_001_seed1_test_2013-01_2018-12.csv</x:v>
      </x:c>
    </x:row>
    <x:row r="977" ht="20" customHeight="1">
      <x:c r="A977" s="27" t="str">
        <x:v>HCL-IDS</x:v>
      </x:c>
      <x:c r="B977" s="30" t="str">
        <x:v>2016-01</x:v>
      </x:c>
      <x:c r="C977" s="40" t="n">
        <x:v>100</x:v>
      </x:c>
      <x:c r="D977" s="41" t="n">
        <x:v>0.8991</x:v>
      </x:c>
      <x:c r="E977" s="41" t="n">
        <x:v>0.172</x:v>
      </x:c>
      <x:c r="F977" s="48" t="str">
        <x:v>experiments/results/hcl_ids/100/07.21-14.21.02/gen_apigraph_hcl_ids_cnt100_001_seed1_test_2013-01_2018-12.csv</x:v>
      </x:c>
    </x:row>
    <x:row r="978" ht="20" customHeight="1">
      <x:c r="A978" s="27" t="str">
        <x:v>HCL-IDS</x:v>
      </x:c>
      <x:c r="B978" s="30" t="str">
        <x:v>2016-02</x:v>
      </x:c>
      <x:c r="C978" s="40" t="n">
        <x:v>100</x:v>
      </x:c>
      <x:c r="D978" s="41" t="n">
        <x:v>0.9464</x:v>
      </x:c>
      <x:c r="E978" s="41" t="n">
        <x:v>0.0853</x:v>
      </x:c>
      <x:c r="F978" s="48" t="str">
        <x:v>experiments/results/hcl_ids/100/07.21-14.21.02/gen_apigraph_hcl_ids_cnt100_001_seed1_test_2013-01_2018-12.csv</x:v>
      </x:c>
    </x:row>
    <x:row r="979" ht="20" customHeight="1">
      <x:c r="A979" s="27" t="str">
        <x:v>HCL-IDS</x:v>
      </x:c>
      <x:c r="B979" s="30" t="str">
        <x:v>2016-03</x:v>
      </x:c>
      <x:c r="C979" s="40" t="n">
        <x:v>100</x:v>
      </x:c>
      <x:c r="D979" s="41" t="n">
        <x:v>0.9344</x:v>
      </x:c>
      <x:c r="E979" s="41" t="n">
        <x:v>0.1038</x:v>
      </x:c>
      <x:c r="F979" s="48" t="str">
        <x:v>experiments/results/hcl_ids/100/07.21-14.21.02/gen_apigraph_hcl_ids_cnt100_001_seed1_test_2013-01_2018-12.csv</x:v>
      </x:c>
    </x:row>
    <x:row r="980" ht="20" customHeight="1">
      <x:c r="A980" s="27" t="str">
        <x:v>HCL-IDS</x:v>
      </x:c>
      <x:c r="B980" s="30" t="str">
        <x:v>2016-04</x:v>
      </x:c>
      <x:c r="C980" s="40" t="n">
        <x:v>100</x:v>
      </x:c>
      <x:c r="D980" s="41" t="n">
        <x:v>0.9007</x:v>
      </x:c>
      <x:c r="E980" s="41" t="n">
        <x:v>0.1389</x:v>
      </x:c>
      <x:c r="F980" s="48" t="str">
        <x:v>experiments/results/hcl_ids/100/07.21-14.21.02/gen_apigraph_hcl_ids_cnt100_001_seed1_test_2013-01_2018-12.csv</x:v>
      </x:c>
    </x:row>
    <x:row r="981" ht="20" customHeight="1">
      <x:c r="A981" s="27" t="str">
        <x:v>HCL-IDS</x:v>
      </x:c>
      <x:c r="B981" s="30" t="str">
        <x:v>2016-05</x:v>
      </x:c>
      <x:c r="C981" s="40" t="n">
        <x:v>100</x:v>
      </x:c>
      <x:c r="D981" s="41" t="n">
        <x:v>0.9168</x:v>
      </x:c>
      <x:c r="E981" s="41" t="n">
        <x:v>0.1342</x:v>
      </x:c>
      <x:c r="F981" s="48" t="str">
        <x:v>experiments/results/hcl_ids/100/07.21-14.21.02/gen_apigraph_hcl_ids_cnt100_001_seed1_test_2013-01_2018-12.csv</x:v>
      </x:c>
    </x:row>
    <x:row r="982" ht="20" customHeight="1">
      <x:c r="A982" s="27" t="str">
        <x:v>HCL-IDS</x:v>
      </x:c>
      <x:c r="B982" s="30" t="str">
        <x:v>2016-06</x:v>
      </x:c>
      <x:c r="C982" s="40" t="n">
        <x:v>100</x:v>
      </x:c>
      <x:c r="D982" s="41" t="n">
        <x:v>0.9398</x:v>
      </x:c>
      <x:c r="E982" s="41" t="n">
        <x:v>0.0955</x:v>
      </x:c>
      <x:c r="F982" s="48" t="str">
        <x:v>experiments/results/hcl_ids/100/07.21-14.21.02/gen_apigraph_hcl_ids_cnt100_001_seed1_test_2013-01_2018-12.csv</x:v>
      </x:c>
    </x:row>
    <x:row r="983" ht="20" customHeight="1">
      <x:c r="A983" s="27" t="str">
        <x:v>HCL-IDS</x:v>
      </x:c>
      <x:c r="B983" s="30" t="str">
        <x:v>2016-07</x:v>
      </x:c>
      <x:c r="C983" s="40" t="n">
        <x:v>100</x:v>
      </x:c>
      <x:c r="D983" s="41" t="n">
        <x:v>0.9368</x:v>
      </x:c>
      <x:c r="E983" s="41" t="n">
        <x:v>0.0915</x:v>
      </x:c>
      <x:c r="F983" s="48" t="str">
        <x:v>experiments/results/hcl_ids/100/07.21-14.21.02/gen_apigraph_hcl_ids_cnt100_001_seed1_test_2013-01_2018-12.csv</x:v>
      </x:c>
    </x:row>
    <x:row r="984" ht="20" customHeight="1">
      <x:c r="A984" s="27" t="str">
        <x:v>HCL-IDS</x:v>
      </x:c>
      <x:c r="B984" s="30" t="str">
        <x:v>2016-08</x:v>
      </x:c>
      <x:c r="C984" s="40" t="n">
        <x:v>100</x:v>
      </x:c>
      <x:c r="D984" s="41" t="n">
        <x:v>0.917</x:v>
      </x:c>
      <x:c r="E984" s="41" t="n">
        <x:v>0.1328</x:v>
      </x:c>
      <x:c r="F984" s="48" t="str">
        <x:v>experiments/results/hcl_ids/100/07.21-14.21.02/gen_apigraph_hcl_ids_cnt100_001_seed1_test_2013-01_2018-12.csv</x:v>
      </x:c>
    </x:row>
    <x:row r="985" ht="20" customHeight="1">
      <x:c r="A985" s="27" t="str">
        <x:v>HCL-IDS</x:v>
      </x:c>
      <x:c r="B985" s="30" t="str">
        <x:v>2016-09</x:v>
      </x:c>
      <x:c r="C985" s="40" t="n">
        <x:v>100</x:v>
      </x:c>
      <x:c r="D985" s="41" t="n">
        <x:v>0.8814</x:v>
      </x:c>
      <x:c r="E985" s="41" t="n">
        <x:v>0.2008</x:v>
      </x:c>
      <x:c r="F985" s="48" t="str">
        <x:v>experiments/results/hcl_ids/100/07.21-14.21.02/gen_apigraph_hcl_ids_cnt100_001_seed1_test_2013-01_2018-12.csv</x:v>
      </x:c>
    </x:row>
    <x:row r="986" ht="20" customHeight="1">
      <x:c r="A986" s="27" t="str">
        <x:v>HCL-IDS</x:v>
      </x:c>
      <x:c r="B986" s="30" t="str">
        <x:v>2016-10</x:v>
      </x:c>
      <x:c r="C986" s="40" t="n">
        <x:v>100</x:v>
      </x:c>
      <x:c r="D986" s="41" t="n">
        <x:v>0.9565</x:v>
      </x:c>
      <x:c r="E986" s="41" t="n">
        <x:v>0.061</x:v>
      </x:c>
      <x:c r="F986" s="48" t="str">
        <x:v>experiments/results/hcl_ids/100/07.21-14.21.02/gen_apigraph_hcl_ids_cnt100_001_seed1_test_2013-01_2018-12.csv</x:v>
      </x:c>
    </x:row>
    <x:row r="987" ht="20" customHeight="1">
      <x:c r="A987" s="27" t="str">
        <x:v>HCL-IDS</x:v>
      </x:c>
      <x:c r="B987" s="30" t="str">
        <x:v>2016-11</x:v>
      </x:c>
      <x:c r="C987" s="40" t="n">
        <x:v>100</x:v>
      </x:c>
      <x:c r="D987" s="41" t="n">
        <x:v>0.935</x:v>
      </x:c>
      <x:c r="E987" s="41" t="n">
        <x:v>0.1061</x:v>
      </x:c>
      <x:c r="F987" s="48" t="str">
        <x:v>experiments/results/hcl_ids/100/07.21-14.21.02/gen_apigraph_hcl_ids_cnt100_001_seed1_test_2013-01_2018-12.csv</x:v>
      </x:c>
    </x:row>
    <x:row r="988" ht="20" customHeight="1">
      <x:c r="A988" s="27" t="str">
        <x:v>HCL-IDS</x:v>
      </x:c>
      <x:c r="B988" s="30" t="str">
        <x:v>2016-12</x:v>
      </x:c>
      <x:c r="C988" s="40" t="n">
        <x:v>100</x:v>
      </x:c>
      <x:c r="D988" s="41" t="n">
        <x:v>0.8732</x:v>
      </x:c>
      <x:c r="E988" s="41" t="n">
        <x:v>0.215</x:v>
      </x:c>
      <x:c r="F988" s="48" t="str">
        <x:v>experiments/results/hcl_ids/100/07.21-14.21.02/gen_apigraph_hcl_ids_cnt100_001_seed1_test_2013-01_2018-12.csv</x:v>
      </x:c>
    </x:row>
    <x:row r="989" ht="20" customHeight="1">
      <x:c r="A989" s="27" t="str">
        <x:v>HCL-IDS</x:v>
      </x:c>
      <x:c r="B989" s="30" t="str">
        <x:v>2017-01</x:v>
      </x:c>
      <x:c r="C989" s="40" t="n">
        <x:v>100</x:v>
      </x:c>
      <x:c r="D989" s="41" t="n">
        <x:v>0.9253</x:v>
      </x:c>
      <x:c r="E989" s="41" t="n">
        <x:v>0.1094</x:v>
      </x:c>
      <x:c r="F989" s="48" t="str">
        <x:v>experiments/results/hcl_ids/100/07.21-14.21.02/gen_apigraph_hcl_ids_cnt100_001_seed1_test_2013-01_2018-12.csv</x:v>
      </x:c>
    </x:row>
    <x:row r="990" ht="20" customHeight="1">
      <x:c r="A990" s="27" t="str">
        <x:v>HCL-IDS</x:v>
      </x:c>
      <x:c r="B990" s="30" t="str">
        <x:v>2017-02</x:v>
      </x:c>
      <x:c r="C990" s="40" t="n">
        <x:v>100</x:v>
      </x:c>
      <x:c r="D990" s="41" t="n">
        <x:v>0.897</x:v>
      </x:c>
      <x:c r="E990" s="41" t="n">
        <x:v>0.1603</x:v>
      </x:c>
      <x:c r="F990" s="48" t="str">
        <x:v>experiments/results/hcl_ids/100/07.21-14.21.02/gen_apigraph_hcl_ids_cnt100_001_seed1_test_2013-01_2018-12.csv</x:v>
      </x:c>
    </x:row>
    <x:row r="991" ht="20" customHeight="1">
      <x:c r="A991" s="27" t="str">
        <x:v>HCL-IDS</x:v>
      </x:c>
      <x:c r="B991" s="30" t="str">
        <x:v>2017-03</x:v>
      </x:c>
      <x:c r="C991" s="40" t="n">
        <x:v>100</x:v>
      </x:c>
      <x:c r="D991" s="41" t="n">
        <x:v>0.8879</x:v>
      </x:c>
      <x:c r="E991" s="41" t="n">
        <x:v>0.1295</x:v>
      </x:c>
      <x:c r="F991" s="48" t="str">
        <x:v>experiments/results/hcl_ids/100/07.21-14.21.02/gen_apigraph_hcl_ids_cnt100_001_seed1_test_2013-01_2018-12.csv</x:v>
      </x:c>
    </x:row>
    <x:row r="992" ht="20" customHeight="1">
      <x:c r="A992" s="27" t="str">
        <x:v>HCL-IDS</x:v>
      </x:c>
      <x:c r="B992" s="30" t="str">
        <x:v>2017-04</x:v>
      </x:c>
      <x:c r="C992" s="40" t="n">
        <x:v>100</x:v>
      </x:c>
      <x:c r="D992" s="41" t="n">
        <x:v>0.8399</x:v>
      </x:c>
      <x:c r="E992" s="41" t="n">
        <x:v>0.2387</x:v>
      </x:c>
      <x:c r="F992" s="48" t="str">
        <x:v>experiments/results/hcl_ids/100/07.21-14.21.02/gen_apigraph_hcl_ids_cnt100_001_seed1_test_2013-01_2018-12.csv</x:v>
      </x:c>
    </x:row>
    <x:row r="993" ht="20" customHeight="1">
      <x:c r="A993" s="27" t="str">
        <x:v>HCL-IDS</x:v>
      </x:c>
      <x:c r="B993" s="30" t="str">
        <x:v>2017-05</x:v>
      </x:c>
      <x:c r="C993" s="40" t="n">
        <x:v>100</x:v>
      </x:c>
      <x:c r="D993" s="41" t="n">
        <x:v>0.8852</x:v>
      </x:c>
      <x:c r="E993" s="41" t="n">
        <x:v>0.1818</x:v>
      </x:c>
      <x:c r="F993" s="48" t="str">
        <x:v>experiments/results/hcl_ids/100/07.21-14.21.02/gen_apigraph_hcl_ids_cnt100_001_seed1_test_2013-01_2018-12.csv</x:v>
      </x:c>
    </x:row>
    <x:row r="994" ht="20" customHeight="1">
      <x:c r="A994" s="27" t="str">
        <x:v>HCL-IDS</x:v>
      </x:c>
      <x:c r="B994" s="30" t="str">
        <x:v>2017-06</x:v>
      </x:c>
      <x:c r="C994" s="40" t="n">
        <x:v>100</x:v>
      </x:c>
      <x:c r="D994" s="41" t="n">
        <x:v>0.8517</x:v>
      </x:c>
      <x:c r="E994" s="41" t="n">
        <x:v>0.2124</x:v>
      </x:c>
      <x:c r="F994" s="48" t="str">
        <x:v>experiments/results/hcl_ids/100/07.21-14.21.02/gen_apigraph_hcl_ids_cnt100_001_seed1_test_2013-01_2018-12.csv</x:v>
      </x:c>
    </x:row>
    <x:row r="995" ht="20" customHeight="1">
      <x:c r="A995" s="27" t="str">
        <x:v>HCL-IDS</x:v>
      </x:c>
      <x:c r="B995" s="30" t="str">
        <x:v>2017-07</x:v>
      </x:c>
      <x:c r="C995" s="40" t="n">
        <x:v>100</x:v>
      </x:c>
      <x:c r="D995" s="41" t="n">
        <x:v>0.8594</x:v>
      </x:c>
      <x:c r="E995" s="41" t="n">
        <x:v>0.1176</x:v>
      </x:c>
      <x:c r="F995" s="48" t="str">
        <x:v>experiments/results/hcl_ids/100/07.21-14.21.02/gen_apigraph_hcl_ids_cnt100_001_seed1_test_2013-01_2018-12.csv</x:v>
      </x:c>
    </x:row>
    <x:row r="996" ht="20" customHeight="1">
      <x:c r="A996" s="27" t="str">
        <x:v>HCL-IDS</x:v>
      </x:c>
      <x:c r="B996" s="30" t="str">
        <x:v>2017-08</x:v>
      </x:c>
      <x:c r="C996" s="40" t="n">
        <x:v>100</x:v>
      </x:c>
      <x:c r="D996" s="41" t="n">
        <x:v>0.9513</x:v>
      </x:c>
      <x:c r="E996" s="41" t="n">
        <x:v>0.0439</x:v>
      </x:c>
      <x:c r="F996" s="48" t="str">
        <x:v>experiments/results/hcl_ids/100/07.21-14.21.02/gen_apigraph_hcl_ids_cnt100_001_seed1_test_2013-01_2018-12.csv</x:v>
      </x:c>
    </x:row>
    <x:row r="997" ht="20" customHeight="1">
      <x:c r="A997" s="27" t="str">
        <x:v>HCL-IDS</x:v>
      </x:c>
      <x:c r="B997" s="30" t="str">
        <x:v>2017-09</x:v>
      </x:c>
      <x:c r="C997" s="40" t="n">
        <x:v>100</x:v>
      </x:c>
      <x:c r="D997" s="41" t="n">
        <x:v>0.9245</x:v>
      </x:c>
      <x:c r="E997" s="41" t="n">
        <x:v>0.0637</x:v>
      </x:c>
      <x:c r="F997" s="48" t="str">
        <x:v>experiments/results/hcl_ids/100/07.21-14.21.02/gen_apigraph_hcl_ids_cnt100_001_seed1_test_2013-01_2018-12.csv</x:v>
      </x:c>
    </x:row>
    <x:row r="998" ht="20" customHeight="1">
      <x:c r="A998" s="27" t="str">
        <x:v>HCL-IDS</x:v>
      </x:c>
      <x:c r="B998" s="30" t="str">
        <x:v>2017-10</x:v>
      </x:c>
      <x:c r="C998" s="40" t="n">
        <x:v>100</x:v>
      </x:c>
      <x:c r="D998" s="41" t="n">
        <x:v>0.9159</x:v>
      </x:c>
      <x:c r="E998" s="41" t="n">
        <x:v>0.1131</x:v>
      </x:c>
      <x:c r="F998" s="48" t="str">
        <x:v>experiments/results/hcl_ids/100/07.21-14.21.02/gen_apigraph_hcl_ids_cnt100_001_seed1_test_2013-01_2018-12.csv</x:v>
      </x:c>
    </x:row>
    <x:row r="999" ht="20" customHeight="1">
      <x:c r="A999" s="27" t="str">
        <x:v>HCL-IDS</x:v>
      </x:c>
      <x:c r="B999" s="30" t="str">
        <x:v>2017-11</x:v>
      </x:c>
      <x:c r="C999" s="40" t="n">
        <x:v>100</x:v>
      </x:c>
      <x:c r="D999" s="41" t="n">
        <x:v>0.914</x:v>
      </x:c>
      <x:c r="E999" s="41" t="n">
        <x:v>0.0761</x:v>
      </x:c>
      <x:c r="F999" s="48" t="str">
        <x:v>experiments/results/hcl_ids/100/07.21-14.21.02/gen_apigraph_hcl_ids_cnt100_001_seed1_test_2013-01_2018-12.csv</x:v>
      </x:c>
    </x:row>
    <x:row r="1000" ht="20" customHeight="1">
      <x:c r="A1000" s="27" t="str">
        <x:v>HCL-IDS</x:v>
      </x:c>
      <x:c r="B1000" s="30" t="str">
        <x:v>2017-12</x:v>
      </x:c>
      <x:c r="C1000" s="40" t="n">
        <x:v>100</x:v>
      </x:c>
      <x:c r="D1000" s="41" t="n">
        <x:v>0.9049</x:v>
      </x:c>
      <x:c r="E1000" s="41" t="n">
        <x:v>0.048</x:v>
      </x:c>
      <x:c r="F1000" s="48" t="str">
        <x:v>experiments/results/hcl_ids/100/07.21-14.21.02/gen_apigraph_hcl_ids_cnt100_001_seed1_test_2013-01_2018-12.csv</x:v>
      </x:c>
    </x:row>
    <x:row r="1001" ht="20" customHeight="1">
      <x:c r="A1001" s="27" t="str">
        <x:v>HCL-IDS</x:v>
      </x:c>
      <x:c r="B1001" s="30" t="str">
        <x:v>2018-01</x:v>
      </x:c>
      <x:c r="C1001" s="40" t="n">
        <x:v>100</x:v>
      </x:c>
      <x:c r="D1001" s="41" t="n">
        <x:v>0.9164</x:v>
      </x:c>
      <x:c r="E1001" s="41" t="n">
        <x:v>0.1046</x:v>
      </x:c>
      <x:c r="F1001" s="48" t="str">
        <x:v>experiments/results/hcl_ids/100/07.21-14.21.02/gen_apigraph_hcl_ids_cnt100_001_seed1_test_2013-01_2018-12.csv</x:v>
      </x:c>
    </x:row>
    <x:row r="1002" ht="20" customHeight="1">
      <x:c r="A1002" s="27" t="str">
        <x:v>HCL-IDS</x:v>
      </x:c>
      <x:c r="B1002" s="30" t="str">
        <x:v>2018-02</x:v>
      </x:c>
      <x:c r="C1002" s="40" t="n">
        <x:v>100</x:v>
      </x:c>
      <x:c r="D1002" s="41" t="n">
        <x:v>0.9466</x:v>
      </x:c>
      <x:c r="E1002" s="41" t="n">
        <x:v>0.0828</x:v>
      </x:c>
      <x:c r="F1002" s="48" t="str">
        <x:v>experiments/results/hcl_ids/100/07.21-14.21.02/gen_apigraph_hcl_ids_cnt100_001_seed1_test_2013-01_2018-12.csv</x:v>
      </x:c>
    </x:row>
    <x:row r="1003" ht="20" customHeight="1">
      <x:c r="A1003" s="27" t="str">
        <x:v>HCL-IDS</x:v>
      </x:c>
      <x:c r="B1003" s="30" t="str">
        <x:v>2018-03</x:v>
      </x:c>
      <x:c r="C1003" s="40" t="n">
        <x:v>100</x:v>
      </x:c>
      <x:c r="D1003" s="41" t="n">
        <x:v>0.9321</x:v>
      </x:c>
      <x:c r="E1003" s="41" t="n">
        <x:v>0.073</x:v>
      </x:c>
      <x:c r="F1003" s="48" t="str">
        <x:v>experiments/results/hcl_ids/100/07.21-14.21.02/gen_apigraph_hcl_ids_cnt100_001_seed1_test_2013-01_2018-12.csv</x:v>
      </x:c>
    </x:row>
    <x:row r="1004" ht="20" customHeight="1">
      <x:c r="A1004" s="27" t="str">
        <x:v>HCL-IDS</x:v>
      </x:c>
      <x:c r="B1004" s="30" t="str">
        <x:v>2018-04</x:v>
      </x:c>
      <x:c r="C1004" s="40" t="n">
        <x:v>100</x:v>
      </x:c>
      <x:c r="D1004" s="41" t="n">
        <x:v>0.946</x:v>
      </x:c>
      <x:c r="E1004" s="41" t="n">
        <x:v>0.0641</x:v>
      </x:c>
      <x:c r="F1004" s="48" t="str">
        <x:v>experiments/results/hcl_ids/100/07.21-14.21.02/gen_apigraph_hcl_ids_cnt100_001_seed1_test_2013-01_2018-12.csv</x:v>
      </x:c>
    </x:row>
    <x:row r="1005" ht="20" customHeight="1">
      <x:c r="A1005" s="27" t="str">
        <x:v>HCL-IDS</x:v>
      </x:c>
      <x:c r="B1005" s="30" t="str">
        <x:v>2018-05</x:v>
      </x:c>
      <x:c r="C1005" s="40" t="n">
        <x:v>100</x:v>
      </x:c>
      <x:c r="D1005" s="41" t="n">
        <x:v>0.9492</x:v>
      </x:c>
      <x:c r="E1005" s="41" t="n">
        <x:v>0.0744</x:v>
      </x:c>
      <x:c r="F1005" s="48" t="str">
        <x:v>experiments/results/hcl_ids/100/07.21-14.21.02/gen_apigraph_hcl_ids_cnt100_001_seed1_test_2013-01_2018-12.csv</x:v>
      </x:c>
    </x:row>
    <x:row r="1006" ht="20" customHeight="1">
      <x:c r="A1006" s="27" t="str">
        <x:v>HCL-IDS</x:v>
      </x:c>
      <x:c r="B1006" s="30" t="str">
        <x:v>2018-06</x:v>
      </x:c>
      <x:c r="C1006" s="40" t="n">
        <x:v>100</x:v>
      </x:c>
      <x:c r="D1006" s="41" t="n">
        <x:v>0.912</x:v>
      </x:c>
      <x:c r="E1006" s="41" t="n">
        <x:v>0.1548</x:v>
      </x:c>
      <x:c r="F1006" s="48" t="str">
        <x:v>experiments/results/hcl_ids/100/07.21-14.21.02/gen_apigraph_hcl_ids_cnt100_001_seed1_test_2013-01_2018-12.csv</x:v>
      </x:c>
    </x:row>
    <x:row r="1007" ht="20" customHeight="1">
      <x:c r="A1007" s="27" t="str">
        <x:v>HCL-IDS</x:v>
      </x:c>
      <x:c r="B1007" s="30" t="str">
        <x:v>2018-07</x:v>
      </x:c>
      <x:c r="C1007" s="40" t="n">
        <x:v>100</x:v>
      </x:c>
      <x:c r="D1007" s="41" t="n">
        <x:v>0.9127</x:v>
      </x:c>
      <x:c r="E1007" s="41" t="n">
        <x:v>0.1537</x:v>
      </x:c>
      <x:c r="F1007" s="48" t="str">
        <x:v>experiments/results/hcl_ids/100/07.21-14.21.02/gen_apigraph_hcl_ids_cnt100_001_seed1_test_2013-01_2018-12.csv</x:v>
      </x:c>
    </x:row>
    <x:row r="1008" ht="20" customHeight="1">
      <x:c r="A1008" s="27" t="str">
        <x:v>HCL-IDS</x:v>
      </x:c>
      <x:c r="B1008" s="30" t="str">
        <x:v>2018-08</x:v>
      </x:c>
      <x:c r="C1008" s="40" t="n">
        <x:v>100</x:v>
      </x:c>
      <x:c r="D1008" s="41" t="n">
        <x:v>0.9214</x:v>
      </x:c>
      <x:c r="E1008" s="41" t="n">
        <x:v>0.1134</x:v>
      </x:c>
      <x:c r="F1008" s="48" t="str">
        <x:v>experiments/results/hcl_ids/100/07.21-14.21.02/gen_apigraph_hcl_ids_cnt100_001_seed1_test_2013-01_2018-12.csv</x:v>
      </x:c>
    </x:row>
    <x:row r="1009" ht="20" customHeight="1">
      <x:c r="A1009" s="27" t="str">
        <x:v>HCL-IDS</x:v>
      </x:c>
      <x:c r="B1009" s="30" t="str">
        <x:v>2018-09</x:v>
      </x:c>
      <x:c r="C1009" s="40" t="n">
        <x:v>100</x:v>
      </x:c>
      <x:c r="D1009" s="41" t="n">
        <x:v>0.8809</x:v>
      </x:c>
      <x:c r="E1009" s="41" t="n">
        <x:v>0.1681</x:v>
      </x:c>
      <x:c r="F1009" s="48" t="str">
        <x:v>experiments/results/hcl_ids/100/07.21-14.21.02/gen_apigraph_hcl_ids_cnt100_001_seed1_test_2013-01_2018-12.csv</x:v>
      </x:c>
    </x:row>
    <x:row r="1010" ht="20" customHeight="1">
      <x:c r="A1010" s="27" t="str">
        <x:v>HCL-IDS</x:v>
      </x:c>
      <x:c r="B1010" s="30" t="str">
        <x:v>2018-10</x:v>
      </x:c>
      <x:c r="C1010" s="40" t="n">
        <x:v>100</x:v>
      </x:c>
      <x:c r="D1010" s="41" t="n">
        <x:v>0.8932</x:v>
      </x:c>
      <x:c r="E1010" s="41" t="n">
        <x:v>0.1684</x:v>
      </x:c>
      <x:c r="F1010" s="48" t="str">
        <x:v>experiments/results/hcl_ids/100/07.21-14.21.02/gen_apigraph_hcl_ids_cnt100_001_seed1_test_2013-01_2018-12.csv</x:v>
      </x:c>
    </x:row>
    <x:row r="1011" ht="20" customHeight="1">
      <x:c r="A1011" s="27" t="str">
        <x:v>HCL-IDS</x:v>
      </x:c>
      <x:c r="B1011" s="30" t="str">
        <x:v>2018-11</x:v>
      </x:c>
      <x:c r="C1011" s="40" t="n">
        <x:v>100</x:v>
      </x:c>
      <x:c r="D1011" s="41" t="n">
        <x:v>0.9562</x:v>
      </x:c>
      <x:c r="E1011" s="41" t="n">
        <x:v>0.0488</x:v>
      </x:c>
      <x:c r="F1011" s="48" t="str">
        <x:v>experiments/results/hcl_ids/100/07.21-14.21.02/gen_apigraph_hcl_ids_cnt100_001_seed1_test_2013-01_2018-12.csv</x:v>
      </x:c>
    </x:row>
    <x:row r="1012" ht="20" customHeight="1">
      <x:c r="A1012" s="27" t="str">
        <x:v>HCL-IDS</x:v>
      </x:c>
      <x:c r="B1012" s="30" t="str">
        <x:v>2018-12</x:v>
      </x:c>
      <x:c r="C1012" s="40" t="n">
        <x:v>100</x:v>
      </x:c>
      <x:c r="D1012" s="41" t="n">
        <x:v>0.972</x:v>
      </x:c>
      <x:c r="E1012" s="41" t="n">
        <x:v>0.0104</x:v>
      </x:c>
      <x:c r="F1012" s="48" t="str">
        <x:v>experiments/results/hcl_ids/100/07.21-14.21.02/gen_apigraph_hcl_ids_cnt100_001_seed1_test_2013-01_2018-12.csv</x:v>
      </x:c>
    </x:row>
    <x:row r="1013" ht="20" customHeight="1">
      <x:c r="A1013" s="27" t="str">
        <x:v>HCL-IDS</x:v>
      </x:c>
      <x:c r="B1013" s="30" t="str">
        <x:v>2013-01</x:v>
      </x:c>
      <x:c r="C1013" s="40" t="n">
        <x:v>200</x:v>
      </x:c>
      <x:c r="D1013" s="41" t="n">
        <x:v>0.9549</x:v>
      </x:c>
      <x:c r="E1013" s="41" t="n">
        <x:v>0.026</x:v>
      </x:c>
      <x:c r="F1013" s="48" t="str">
        <x:v>experiments/results/hcl_ids/200/07.21-16.54.55/gen_apigraph_hcl_ids_cnt200_001_seed1_test_2013-01_2018-12.csv</x:v>
      </x:c>
    </x:row>
    <x:row r="1014" ht="20" customHeight="1">
      <x:c r="A1014" s="27" t="str">
        <x:v>HCL-IDS</x:v>
      </x:c>
      <x:c r="B1014" s="30" t="str">
        <x:v>2013-02</x:v>
      </x:c>
      <x:c r="C1014" s="40" t="n">
        <x:v>200</x:v>
      </x:c>
      <x:c r="D1014" s="41" t="n">
        <x:v>0.9052</x:v>
      </x:c>
      <x:c r="E1014" s="41" t="n">
        <x:v>0.15</x:v>
      </x:c>
      <x:c r="F1014" s="48" t="str">
        <x:v>experiments/results/hcl_ids/200/07.21-16.54.55/gen_apigraph_hcl_ids_cnt200_001_seed1_test_2013-01_2018-12.csv</x:v>
      </x:c>
    </x:row>
    <x:row r="1015" ht="20" customHeight="1">
      <x:c r="A1015" s="27" t="str">
        <x:v>HCL-IDS</x:v>
      </x:c>
      <x:c r="B1015" s="30" t="str">
        <x:v>2013-03</x:v>
      </x:c>
      <x:c r="C1015" s="40" t="n">
        <x:v>200</x:v>
      </x:c>
      <x:c r="D1015" s="41" t="n">
        <x:v>0.916</x:v>
      </x:c>
      <x:c r="E1015" s="41" t="n">
        <x:v>0.1098</x:v>
      </x:c>
      <x:c r="F1015" s="48" t="str">
        <x:v>experiments/results/hcl_ids/200/07.21-16.54.55/gen_apigraph_hcl_ids_cnt200_001_seed1_test_2013-01_2018-12.csv</x:v>
      </x:c>
    </x:row>
    <x:row r="1016" ht="20" customHeight="1">
      <x:c r="A1016" s="27" t="str">
        <x:v>HCL-IDS</x:v>
      </x:c>
      <x:c r="B1016" s="30" t="str">
        <x:v>2013-04</x:v>
      </x:c>
      <x:c r="C1016" s="40" t="n">
        <x:v>200</x:v>
      </x:c>
      <x:c r="D1016" s="41" t="n">
        <x:v>0.9001</x:v>
      </x:c>
      <x:c r="E1016" s="41" t="n">
        <x:v>0.1774</x:v>
      </x:c>
      <x:c r="F1016" s="48" t="str">
        <x:v>experiments/results/hcl_ids/200/07.21-16.54.55/gen_apigraph_hcl_ids_cnt200_001_seed1_test_2013-01_2018-12.csv</x:v>
      </x:c>
    </x:row>
    <x:row r="1017" ht="20" customHeight="1">
      <x:c r="A1017" s="27" t="str">
        <x:v>HCL-IDS</x:v>
      </x:c>
      <x:c r="B1017" s="30" t="str">
        <x:v>2013-05</x:v>
      </x:c>
      <x:c r="C1017" s="40" t="n">
        <x:v>200</x:v>
      </x:c>
      <x:c r="D1017" s="41" t="n">
        <x:v>0.9224</x:v>
      </x:c>
      <x:c r="E1017" s="41" t="n">
        <x:v>0.1245</x:v>
      </x:c>
      <x:c r="F1017" s="48" t="str">
        <x:v>experiments/results/hcl_ids/200/07.21-16.54.55/gen_apigraph_hcl_ids_cnt200_001_seed1_test_2013-01_2018-12.csv</x:v>
      </x:c>
    </x:row>
    <x:row r="1018" ht="20" customHeight="1">
      <x:c r="A1018" s="27" t="str">
        <x:v>HCL-IDS</x:v>
      </x:c>
      <x:c r="B1018" s="30" t="str">
        <x:v>2013-06</x:v>
      </x:c>
      <x:c r="C1018" s="40" t="n">
        <x:v>200</x:v>
      </x:c>
      <x:c r="D1018" s="41" t="n">
        <x:v>0.9217</x:v>
      </x:c>
      <x:c r="E1018" s="41" t="n">
        <x:v>0.1124</x:v>
      </x:c>
      <x:c r="F1018" s="48" t="str">
        <x:v>experiments/results/hcl_ids/200/07.21-16.54.55/gen_apigraph_hcl_ids_cnt200_001_seed1_test_2013-01_2018-12.csv</x:v>
      </x:c>
    </x:row>
    <x:row r="1019" ht="20" customHeight="1">
      <x:c r="A1019" s="27" t="str">
        <x:v>HCL-IDS</x:v>
      </x:c>
      <x:c r="B1019" s="30" t="str">
        <x:v>2013-07</x:v>
      </x:c>
      <x:c r="C1019" s="40" t="n">
        <x:v>200</x:v>
      </x:c>
      <x:c r="D1019" s="41" t="n">
        <x:v>0.9281</x:v>
      </x:c>
      <x:c r="E1019" s="41" t="n">
        <x:v>0.1067</x:v>
      </x:c>
      <x:c r="F1019" s="48" t="str">
        <x:v>experiments/results/hcl_ids/200/07.21-16.54.55/gen_apigraph_hcl_ids_cnt200_001_seed1_test_2013-01_2018-12.csv</x:v>
      </x:c>
    </x:row>
    <x:row r="1020" ht="20" customHeight="1">
      <x:c r="A1020" s="27" t="str">
        <x:v>HCL-IDS</x:v>
      </x:c>
      <x:c r="B1020" s="30" t="str">
        <x:v>2013-08</x:v>
      </x:c>
      <x:c r="C1020" s="40" t="n">
        <x:v>200</x:v>
      </x:c>
      <x:c r="D1020" s="41" t="n">
        <x:v>0.9293</x:v>
      </x:c>
      <x:c r="E1020" s="41" t="n">
        <x:v>0.1033</x:v>
      </x:c>
      <x:c r="F1020" s="48" t="str">
        <x:v>experiments/results/hcl_ids/200/07.21-16.54.55/gen_apigraph_hcl_ids_cnt200_001_seed1_test_2013-01_2018-12.csv</x:v>
      </x:c>
    </x:row>
    <x:row r="1021" ht="20" customHeight="1">
      <x:c r="A1021" s="27" t="str">
        <x:v>HCL-IDS</x:v>
      </x:c>
      <x:c r="B1021" s="30" t="str">
        <x:v>2013-09</x:v>
      </x:c>
      <x:c r="C1021" s="40" t="n">
        <x:v>200</x:v>
      </x:c>
      <x:c r="D1021" s="41" t="n">
        <x:v>0.8872</x:v>
      </x:c>
      <x:c r="E1021" s="41" t="n">
        <x:v>0.174</x:v>
      </x:c>
      <x:c r="F1021" s="48" t="str">
        <x:v>experiments/results/hcl_ids/200/07.21-16.54.55/gen_apigraph_hcl_ids_cnt200_001_seed1_test_2013-01_2018-12.csv</x:v>
      </x:c>
    </x:row>
    <x:row r="1022" ht="20" customHeight="1">
      <x:c r="A1022" s="27" t="str">
        <x:v>HCL-IDS</x:v>
      </x:c>
      <x:c r="B1022" s="30" t="str">
        <x:v>2013-10</x:v>
      </x:c>
      <x:c r="C1022" s="40" t="n">
        <x:v>200</x:v>
      </x:c>
      <x:c r="D1022" s="41" t="n">
        <x:v>0.899</x:v>
      </x:c>
      <x:c r="E1022" s="41" t="n">
        <x:v>0.1523</x:v>
      </x:c>
      <x:c r="F1022" s="48" t="str">
        <x:v>experiments/results/hcl_ids/200/07.21-16.54.55/gen_apigraph_hcl_ids_cnt200_001_seed1_test_2013-01_2018-12.csv</x:v>
      </x:c>
    </x:row>
    <x:row r="1023" ht="20" customHeight="1">
      <x:c r="A1023" s="27" t="str">
        <x:v>HCL-IDS</x:v>
      </x:c>
      <x:c r="B1023" s="30" t="str">
        <x:v>2013-11</x:v>
      </x:c>
      <x:c r="C1023" s="40" t="n">
        <x:v>200</x:v>
      </x:c>
      <x:c r="D1023" s="41" t="n">
        <x:v>0.8834</x:v>
      </x:c>
      <x:c r="E1023" s="41" t="n">
        <x:v>0.1737</x:v>
      </x:c>
      <x:c r="F1023" s="48" t="str">
        <x:v>experiments/results/hcl_ids/200/07.21-16.54.55/gen_apigraph_hcl_ids_cnt200_001_seed1_test_2013-01_2018-12.csv</x:v>
      </x:c>
    </x:row>
    <x:row r="1024" ht="20" customHeight="1">
      <x:c r="A1024" s="27" t="str">
        <x:v>HCL-IDS</x:v>
      </x:c>
      <x:c r="B1024" s="30" t="str">
        <x:v>2013-12</x:v>
      </x:c>
      <x:c r="C1024" s="40" t="n">
        <x:v>200</x:v>
      </x:c>
      <x:c r="D1024" s="41" t="n">
        <x:v>0.9436</x:v>
      </x:c>
      <x:c r="E1024" s="41" t="n">
        <x:v>0.0782</x:v>
      </x:c>
      <x:c r="F1024" s="48" t="str">
        <x:v>experiments/results/hcl_ids/200/07.21-16.54.55/gen_apigraph_hcl_ids_cnt200_001_seed1_test_2013-01_2018-12.csv</x:v>
      </x:c>
    </x:row>
    <x:row r="1025" ht="20" customHeight="1">
      <x:c r="A1025" s="27" t="str">
        <x:v>HCL-IDS</x:v>
      </x:c>
      <x:c r="B1025" s="30" t="str">
        <x:v>2014-01</x:v>
      </x:c>
      <x:c r="C1025" s="40" t="n">
        <x:v>200</x:v>
      </x:c>
      <x:c r="D1025" s="41" t="n">
        <x:v>0.8941</x:v>
      </x:c>
      <x:c r="E1025" s="41" t="n">
        <x:v>0.1521</x:v>
      </x:c>
      <x:c r="F1025" s="48" t="str">
        <x:v>experiments/results/hcl_ids/200/07.21-16.54.55/gen_apigraph_hcl_ids_cnt200_001_seed1_test_2013-01_2018-12.csv</x:v>
      </x:c>
    </x:row>
    <x:row r="1026" ht="20" customHeight="1">
      <x:c r="A1026" s="27" t="str">
        <x:v>HCL-IDS</x:v>
      </x:c>
      <x:c r="B1026" s="30" t="str">
        <x:v>2014-02</x:v>
      </x:c>
      <x:c r="C1026" s="40" t="n">
        <x:v>200</x:v>
      </x:c>
      <x:c r="D1026" s="41" t="n">
        <x:v>0.9331</x:v>
      </x:c>
      <x:c r="E1026" s="41" t="n">
        <x:v>0.0848</x:v>
      </x:c>
      <x:c r="F1026" s="48" t="str">
        <x:v>experiments/results/hcl_ids/200/07.21-16.54.55/gen_apigraph_hcl_ids_cnt200_001_seed1_test_2013-01_2018-12.csv</x:v>
      </x:c>
    </x:row>
    <x:row r="1027" ht="20" customHeight="1">
      <x:c r="A1027" s="27" t="str">
        <x:v>HCL-IDS</x:v>
      </x:c>
      <x:c r="B1027" s="30" t="str">
        <x:v>2014-03</x:v>
      </x:c>
      <x:c r="C1027" s="40" t="n">
        <x:v>200</x:v>
      </x:c>
      <x:c r="D1027" s="41" t="n">
        <x:v>0.9138</x:v>
      </x:c>
      <x:c r="E1027" s="41" t="n">
        <x:v>0.1093</x:v>
      </x:c>
      <x:c r="F1027" s="48" t="str">
        <x:v>experiments/results/hcl_ids/200/07.21-16.54.55/gen_apigraph_hcl_ids_cnt200_001_seed1_test_2013-01_2018-12.csv</x:v>
      </x:c>
    </x:row>
    <x:row r="1028" ht="20" customHeight="1">
      <x:c r="A1028" s="27" t="str">
        <x:v>HCL-IDS</x:v>
      </x:c>
      <x:c r="B1028" s="30" t="str">
        <x:v>2014-04</x:v>
      </x:c>
      <x:c r="C1028" s="40" t="n">
        <x:v>200</x:v>
      </x:c>
      <x:c r="D1028" s="41" t="n">
        <x:v>0.8686</x:v>
      </x:c>
      <x:c r="E1028" s="41" t="n">
        <x:v>0.1886</x:v>
      </x:c>
      <x:c r="F1028" s="48" t="str">
        <x:v>experiments/results/hcl_ids/200/07.21-16.54.55/gen_apigraph_hcl_ids_cnt200_001_seed1_test_2013-01_2018-12.csv</x:v>
      </x:c>
    </x:row>
    <x:row r="1029" ht="20" customHeight="1">
      <x:c r="A1029" s="27" t="str">
        <x:v>HCL-IDS</x:v>
      </x:c>
      <x:c r="B1029" s="30" t="str">
        <x:v>2014-05</x:v>
      </x:c>
      <x:c r="C1029" s="40" t="n">
        <x:v>200</x:v>
      </x:c>
      <x:c r="D1029" s="41" t="n">
        <x:v>0.895</x:v>
      </x:c>
      <x:c r="E1029" s="41" t="n">
        <x:v>0.1429</x:v>
      </x:c>
      <x:c r="F1029" s="48" t="str">
        <x:v>experiments/results/hcl_ids/200/07.21-16.54.55/gen_apigraph_hcl_ids_cnt200_001_seed1_test_2013-01_2018-12.csv</x:v>
      </x:c>
    </x:row>
    <x:row r="1030" ht="20" customHeight="1">
      <x:c r="A1030" s="27" t="str">
        <x:v>HCL-IDS</x:v>
      </x:c>
      <x:c r="B1030" s="30" t="str">
        <x:v>2014-06</x:v>
      </x:c>
      <x:c r="C1030" s="40" t="n">
        <x:v>200</x:v>
      </x:c>
      <x:c r="D1030" s="41" t="n">
        <x:v>0.8486</x:v>
      </x:c>
      <x:c r="E1030" s="41" t="n">
        <x:v>0.2289</x:v>
      </x:c>
      <x:c r="F1030" s="48" t="str">
        <x:v>experiments/results/hcl_ids/200/07.21-16.54.55/gen_apigraph_hcl_ids_cnt200_001_seed1_test_2013-01_2018-12.csv</x:v>
      </x:c>
    </x:row>
    <x:row r="1031" ht="20" customHeight="1">
      <x:c r="A1031" s="27" t="str">
        <x:v>HCL-IDS</x:v>
      </x:c>
      <x:c r="B1031" s="30" t="str">
        <x:v>2014-07</x:v>
      </x:c>
      <x:c r="C1031" s="40" t="n">
        <x:v>200</x:v>
      </x:c>
      <x:c r="D1031" s="41" t="n">
        <x:v>0.8069</x:v>
      </x:c>
      <x:c r="E1031" s="41" t="n">
        <x:v>0.2966</x:v>
      </x:c>
      <x:c r="F1031" s="48" t="str">
        <x:v>experiments/results/hcl_ids/200/07.21-16.54.55/gen_apigraph_hcl_ids_cnt200_001_seed1_test_2013-01_2018-12.csv</x:v>
      </x:c>
    </x:row>
    <x:row r="1032" ht="20" customHeight="1">
      <x:c r="A1032" s="27" t="str">
        <x:v>HCL-IDS</x:v>
      </x:c>
      <x:c r="B1032" s="30" t="str">
        <x:v>2014-08</x:v>
      </x:c>
      <x:c r="C1032" s="40" t="n">
        <x:v>200</x:v>
      </x:c>
      <x:c r="D1032" s="41" t="n">
        <x:v>0.8634</x:v>
      </x:c>
      <x:c r="E1032" s="41" t="n">
        <x:v>0.2097</x:v>
      </x:c>
      <x:c r="F1032" s="48" t="str">
        <x:v>experiments/results/hcl_ids/200/07.21-16.54.55/gen_apigraph_hcl_ids_cnt200_001_seed1_test_2013-01_2018-12.csv</x:v>
      </x:c>
    </x:row>
    <x:row r="1033" ht="20" customHeight="1">
      <x:c r="A1033" s="27" t="str">
        <x:v>HCL-IDS</x:v>
      </x:c>
      <x:c r="B1033" s="30" t="str">
        <x:v>2014-09</x:v>
      </x:c>
      <x:c r="C1033" s="40" t="n">
        <x:v>200</x:v>
      </x:c>
      <x:c r="D1033" s="41" t="n">
        <x:v>0.8621</x:v>
      </x:c>
      <x:c r="E1033" s="41" t="n">
        <x:v>0.2299</x:v>
      </x:c>
      <x:c r="F1033" s="48" t="str">
        <x:v>experiments/results/hcl_ids/200/07.21-16.54.55/gen_apigraph_hcl_ids_cnt200_001_seed1_test_2013-01_2018-12.csv</x:v>
      </x:c>
    </x:row>
    <x:row r="1034" ht="20" customHeight="1">
      <x:c r="A1034" s="27" t="str">
        <x:v>HCL-IDS</x:v>
      </x:c>
      <x:c r="B1034" s="30" t="str">
        <x:v>2014-10</x:v>
      </x:c>
      <x:c r="C1034" s="40" t="n">
        <x:v>200</x:v>
      </x:c>
      <x:c r="D1034" s="41" t="n">
        <x:v>0.8514</x:v>
      </x:c>
      <x:c r="E1034" s="41" t="n">
        <x:v>0.227</x:v>
      </x:c>
      <x:c r="F1034" s="48" t="str">
        <x:v>experiments/results/hcl_ids/200/07.21-16.54.55/gen_apigraph_hcl_ids_cnt200_001_seed1_test_2013-01_2018-12.csv</x:v>
      </x:c>
    </x:row>
    <x:row r="1035" ht="20" customHeight="1">
      <x:c r="A1035" s="27" t="str">
        <x:v>HCL-IDS</x:v>
      </x:c>
      <x:c r="B1035" s="30" t="str">
        <x:v>2014-11</x:v>
      </x:c>
      <x:c r="C1035" s="40" t="n">
        <x:v>200</x:v>
      </x:c>
      <x:c r="D1035" s="41" t="n">
        <x:v>0.9297</x:v>
      </x:c>
      <x:c r="E1035" s="41" t="n">
        <x:v>0.1014</x:v>
      </x:c>
      <x:c r="F1035" s="48" t="str">
        <x:v>experiments/results/hcl_ids/200/07.21-16.54.55/gen_apigraph_hcl_ids_cnt200_001_seed1_test_2013-01_2018-12.csv</x:v>
      </x:c>
    </x:row>
    <x:row r="1036" ht="20" customHeight="1">
      <x:c r="A1036" s="27" t="str">
        <x:v>HCL-IDS</x:v>
      </x:c>
      <x:c r="B1036" s="30" t="str">
        <x:v>2014-12</x:v>
      </x:c>
      <x:c r="C1036" s="40" t="n">
        <x:v>200</x:v>
      </x:c>
      <x:c r="D1036" s="41" t="n">
        <x:v>0.8798</x:v>
      </x:c>
      <x:c r="E1036" s="41" t="n">
        <x:v>0.1907</x:v>
      </x:c>
      <x:c r="F1036" s="48" t="str">
        <x:v>experiments/results/hcl_ids/200/07.21-16.54.55/gen_apigraph_hcl_ids_cnt200_001_seed1_test_2013-01_2018-12.csv</x:v>
      </x:c>
    </x:row>
    <x:row r="1037" ht="20" customHeight="1">
      <x:c r="A1037" s="27" t="str">
        <x:v>HCL-IDS</x:v>
      </x:c>
      <x:c r="B1037" s="30" t="str">
        <x:v>2015-01</x:v>
      </x:c>
      <x:c r="C1037" s="40" t="n">
        <x:v>200</x:v>
      </x:c>
      <x:c r="D1037" s="41" t="n">
        <x:v>0.8704</x:v>
      </x:c>
      <x:c r="E1037" s="41" t="n">
        <x:v>0.2134</x:v>
      </x:c>
      <x:c r="F1037" s="48" t="str">
        <x:v>experiments/results/hcl_ids/200/07.21-16.54.55/gen_apigraph_hcl_ids_cnt200_001_seed1_test_2013-01_2018-12.csv</x:v>
      </x:c>
    </x:row>
    <x:row r="1038" ht="20" customHeight="1">
      <x:c r="A1038" s="27" t="str">
        <x:v>HCL-IDS</x:v>
      </x:c>
      <x:c r="B1038" s="30" t="str">
        <x:v>2015-02</x:v>
      </x:c>
      <x:c r="C1038" s="40" t="n">
        <x:v>200</x:v>
      </x:c>
      <x:c r="D1038" s="41" t="n">
        <x:v>0.9267</x:v>
      </x:c>
      <x:c r="E1038" s="41" t="n">
        <x:v>0.1079</x:v>
      </x:c>
      <x:c r="F1038" s="48" t="str">
        <x:v>experiments/results/hcl_ids/200/07.21-16.54.55/gen_apigraph_hcl_ids_cnt200_001_seed1_test_2013-01_2018-12.csv</x:v>
      </x:c>
    </x:row>
    <x:row r="1039" ht="20" customHeight="1">
      <x:c r="A1039" s="27" t="str">
        <x:v>HCL-IDS</x:v>
      </x:c>
      <x:c r="B1039" s="30" t="str">
        <x:v>2015-03</x:v>
      </x:c>
      <x:c r="C1039" s="40" t="n">
        <x:v>200</x:v>
      </x:c>
      <x:c r="D1039" s="41" t="n">
        <x:v>0.9227</x:v>
      </x:c>
      <x:c r="E1039" s="41" t="n">
        <x:v>0.1253</x:v>
      </x:c>
      <x:c r="F1039" s="48" t="str">
        <x:v>experiments/results/hcl_ids/200/07.21-16.54.55/gen_apigraph_hcl_ids_cnt200_001_seed1_test_2013-01_2018-12.csv</x:v>
      </x:c>
    </x:row>
    <x:row r="1040" ht="20" customHeight="1">
      <x:c r="A1040" s="27" t="str">
        <x:v>HCL-IDS</x:v>
      </x:c>
      <x:c r="B1040" s="30" t="str">
        <x:v>2015-04</x:v>
      </x:c>
      <x:c r="C1040" s="40" t="n">
        <x:v>200</x:v>
      </x:c>
      <x:c r="D1040" s="41" t="n">
        <x:v>0.94</x:v>
      </x:c>
      <x:c r="E1040" s="41" t="n">
        <x:v>0.0942</x:v>
      </x:c>
      <x:c r="F1040" s="48" t="str">
        <x:v>experiments/results/hcl_ids/200/07.21-16.54.55/gen_apigraph_hcl_ids_cnt200_001_seed1_test_2013-01_2018-12.csv</x:v>
      </x:c>
    </x:row>
    <x:row r="1041" ht="20" customHeight="1">
      <x:c r="A1041" s="27" t="str">
        <x:v>HCL-IDS</x:v>
      </x:c>
      <x:c r="B1041" s="30" t="str">
        <x:v>2015-05</x:v>
      </x:c>
      <x:c r="C1041" s="40" t="n">
        <x:v>200</x:v>
      </x:c>
      <x:c r="D1041" s="41" t="n">
        <x:v>0.916</x:v>
      </x:c>
      <x:c r="E1041" s="41" t="n">
        <x:v>0.1284</x:v>
      </x:c>
      <x:c r="F1041" s="48" t="str">
        <x:v>experiments/results/hcl_ids/200/07.21-16.54.55/gen_apigraph_hcl_ids_cnt200_001_seed1_test_2013-01_2018-12.csv</x:v>
      </x:c>
    </x:row>
    <x:row r="1042" ht="20" customHeight="1">
      <x:c r="A1042" s="27" t="str">
        <x:v>HCL-IDS</x:v>
      </x:c>
      <x:c r="B1042" s="30" t="str">
        <x:v>2015-06</x:v>
      </x:c>
      <x:c r="C1042" s="40" t="n">
        <x:v>200</x:v>
      </x:c>
      <x:c r="D1042" s="41" t="n">
        <x:v>0.9273</x:v>
      </x:c>
      <x:c r="E1042" s="41" t="n">
        <x:v>0.1072</x:v>
      </x:c>
      <x:c r="F1042" s="48" t="str">
        <x:v>experiments/results/hcl_ids/200/07.21-16.54.55/gen_apigraph_hcl_ids_cnt200_001_seed1_test_2013-01_2018-12.csv</x:v>
      </x:c>
    </x:row>
    <x:row r="1043" ht="20" customHeight="1">
      <x:c r="A1043" s="27" t="str">
        <x:v>HCL-IDS</x:v>
      </x:c>
      <x:c r="B1043" s="30" t="str">
        <x:v>2015-07</x:v>
      </x:c>
      <x:c r="C1043" s="40" t="n">
        <x:v>200</x:v>
      </x:c>
      <x:c r="D1043" s="41" t="n">
        <x:v>0.9125</x:v>
      </x:c>
      <x:c r="E1043" s="41" t="n">
        <x:v>0.1363</x:v>
      </x:c>
      <x:c r="F1043" s="48" t="str">
        <x:v>experiments/results/hcl_ids/200/07.21-16.54.55/gen_apigraph_hcl_ids_cnt200_001_seed1_test_2013-01_2018-12.csv</x:v>
      </x:c>
    </x:row>
    <x:row r="1044" ht="20" customHeight="1">
      <x:c r="A1044" s="27" t="str">
        <x:v>HCL-IDS</x:v>
      </x:c>
      <x:c r="B1044" s="30" t="str">
        <x:v>2015-08</x:v>
      </x:c>
      <x:c r="C1044" s="40" t="n">
        <x:v>200</x:v>
      </x:c>
      <x:c r="D1044" s="41" t="n">
        <x:v>0.9428</x:v>
      </x:c>
      <x:c r="E1044" s="41" t="n">
        <x:v>0.085</x:v>
      </x:c>
      <x:c r="F1044" s="48" t="str">
        <x:v>experiments/results/hcl_ids/200/07.21-16.54.55/gen_apigraph_hcl_ids_cnt200_001_seed1_test_2013-01_2018-12.csv</x:v>
      </x:c>
    </x:row>
    <x:row r="1045" ht="20" customHeight="1">
      <x:c r="A1045" s="27" t="str">
        <x:v>HCL-IDS</x:v>
      </x:c>
      <x:c r="B1045" s="30" t="str">
        <x:v>2015-09</x:v>
      </x:c>
      <x:c r="C1045" s="40" t="n">
        <x:v>200</x:v>
      </x:c>
      <x:c r="D1045" s="41" t="n">
        <x:v>0.8327</x:v>
      </x:c>
      <x:c r="E1045" s="41" t="n">
        <x:v>0.2614</x:v>
      </x:c>
      <x:c r="F1045" s="48" t="str">
        <x:v>experiments/results/hcl_ids/200/07.21-16.54.55/gen_apigraph_hcl_ids_cnt200_001_seed1_test_2013-01_2018-12.csv</x:v>
      </x:c>
    </x:row>
    <x:row r="1046" ht="20" customHeight="1">
      <x:c r="A1046" s="27" t="str">
        <x:v>HCL-IDS</x:v>
      </x:c>
      <x:c r="B1046" s="30" t="str">
        <x:v>2015-10</x:v>
      </x:c>
      <x:c r="C1046" s="40" t="n">
        <x:v>200</x:v>
      </x:c>
      <x:c r="D1046" s="41" t="n">
        <x:v>0.8106</x:v>
      </x:c>
      <x:c r="E1046" s="41" t="n">
        <x:v>0.2884</x:v>
      </x:c>
      <x:c r="F1046" s="48" t="str">
        <x:v>experiments/results/hcl_ids/200/07.21-16.54.55/gen_apigraph_hcl_ids_cnt200_001_seed1_test_2013-01_2018-12.csv</x:v>
      </x:c>
    </x:row>
    <x:row r="1047" ht="20" customHeight="1">
      <x:c r="A1047" s="27" t="str">
        <x:v>HCL-IDS</x:v>
      </x:c>
      <x:c r="B1047" s="30" t="str">
        <x:v>2015-11</x:v>
      </x:c>
      <x:c r="C1047" s="40" t="n">
        <x:v>200</x:v>
      </x:c>
      <x:c r="D1047" s="41" t="n">
        <x:v>0.9656</x:v>
      </x:c>
      <x:c r="E1047" s="41" t="n">
        <x:v>0.0512</x:v>
      </x:c>
      <x:c r="F1047" s="48" t="str">
        <x:v>experiments/results/hcl_ids/200/07.21-16.54.55/gen_apigraph_hcl_ids_cnt200_001_seed1_test_2013-01_2018-12.csv</x:v>
      </x:c>
    </x:row>
    <x:row r="1048" ht="20" customHeight="1">
      <x:c r="A1048" s="27" t="str">
        <x:v>HCL-IDS</x:v>
      </x:c>
      <x:c r="B1048" s="30" t="str">
        <x:v>2015-12</x:v>
      </x:c>
      <x:c r="C1048" s="40" t="n">
        <x:v>200</x:v>
      </x:c>
      <x:c r="D1048" s="41" t="n">
        <x:v>0.9605</x:v>
      </x:c>
      <x:c r="E1048" s="41" t="n">
        <x:v>0.0644</x:v>
      </x:c>
      <x:c r="F1048" s="48" t="str">
        <x:v>experiments/results/hcl_ids/200/07.21-16.54.55/gen_apigraph_hcl_ids_cnt200_001_seed1_test_2013-01_2018-12.csv</x:v>
      </x:c>
    </x:row>
    <x:row r="1049" ht="20" customHeight="1">
      <x:c r="A1049" s="27" t="str">
        <x:v>HCL-IDS</x:v>
      </x:c>
      <x:c r="B1049" s="30" t="str">
        <x:v>2016-01</x:v>
      </x:c>
      <x:c r="C1049" s="40" t="n">
        <x:v>200</x:v>
      </x:c>
      <x:c r="D1049" s="41" t="n">
        <x:v>0.9109</x:v>
      </x:c>
      <x:c r="E1049" s="41" t="n">
        <x:v>0.1445</x:v>
      </x:c>
      <x:c r="F1049" s="48" t="str">
        <x:v>experiments/results/hcl_ids/200/07.21-16.54.55/gen_apigraph_hcl_ids_cnt200_001_seed1_test_2013-01_2018-12.csv</x:v>
      </x:c>
    </x:row>
    <x:row r="1050" ht="20" customHeight="1">
      <x:c r="A1050" s="27" t="str">
        <x:v>HCL-IDS</x:v>
      </x:c>
      <x:c r="B1050" s="30" t="str">
        <x:v>2016-02</x:v>
      </x:c>
      <x:c r="C1050" s="40" t="n">
        <x:v>200</x:v>
      </x:c>
      <x:c r="D1050" s="41" t="n">
        <x:v>0.9408</x:v>
      </x:c>
      <x:c r="E1050" s="41" t="n">
        <x:v>0.0853</x:v>
      </x:c>
      <x:c r="F1050" s="48" t="str">
        <x:v>experiments/results/hcl_ids/200/07.21-16.54.55/gen_apigraph_hcl_ids_cnt200_001_seed1_test_2013-01_2018-12.csv</x:v>
      </x:c>
    </x:row>
    <x:row r="1051" ht="20" customHeight="1">
      <x:c r="A1051" s="27" t="str">
        <x:v>HCL-IDS</x:v>
      </x:c>
      <x:c r="B1051" s="30" t="str">
        <x:v>2016-03</x:v>
      </x:c>
      <x:c r="C1051" s="40" t="n">
        <x:v>200</x:v>
      </x:c>
      <x:c r="D1051" s="41" t="n">
        <x:v>0.9408</x:v>
      </x:c>
      <x:c r="E1051" s="41" t="n">
        <x:v>0.0883</x:v>
      </x:c>
      <x:c r="F1051" s="48" t="str">
        <x:v>experiments/results/hcl_ids/200/07.21-16.54.55/gen_apigraph_hcl_ids_cnt200_001_seed1_test_2013-01_2018-12.csv</x:v>
      </x:c>
    </x:row>
    <x:row r="1052" ht="20" customHeight="1">
      <x:c r="A1052" s="27" t="str">
        <x:v>HCL-IDS</x:v>
      </x:c>
      <x:c r="B1052" s="30" t="str">
        <x:v>2016-04</x:v>
      </x:c>
      <x:c r="C1052" s="40" t="n">
        <x:v>200</x:v>
      </x:c>
      <x:c r="D1052" s="41" t="n">
        <x:v>0.917</x:v>
      </x:c>
      <x:c r="E1052" s="41" t="n">
        <x:v>0.0926</x:v>
      </x:c>
      <x:c r="F1052" s="48" t="str">
        <x:v>experiments/results/hcl_ids/200/07.21-16.54.55/gen_apigraph_hcl_ids_cnt200_001_seed1_test_2013-01_2018-12.csv</x:v>
      </x:c>
    </x:row>
    <x:row r="1053" ht="20" customHeight="1">
      <x:c r="A1053" s="27" t="str">
        <x:v>HCL-IDS</x:v>
      </x:c>
      <x:c r="B1053" s="30" t="str">
        <x:v>2016-05</x:v>
      </x:c>
      <x:c r="C1053" s="40" t="n">
        <x:v>200</x:v>
      </x:c>
      <x:c r="D1053" s="41" t="n">
        <x:v>0.9333</x:v>
      </x:c>
      <x:c r="E1053" s="41" t="n">
        <x:v>0.1048</x:v>
      </x:c>
      <x:c r="F1053" s="48" t="str">
        <x:v>experiments/results/hcl_ids/200/07.21-16.54.55/gen_apigraph_hcl_ids_cnt200_001_seed1_test_2013-01_2018-12.csv</x:v>
      </x:c>
    </x:row>
    <x:row r="1054" ht="20" customHeight="1">
      <x:c r="A1054" s="27" t="str">
        <x:v>HCL-IDS</x:v>
      </x:c>
      <x:c r="B1054" s="30" t="str">
        <x:v>2016-06</x:v>
      </x:c>
      <x:c r="C1054" s="40" t="n">
        <x:v>200</x:v>
      </x:c>
      <x:c r="D1054" s="41" t="n">
        <x:v>0.9448</x:v>
      </x:c>
      <x:c r="E1054" s="41" t="n">
        <x:v>0.0772</x:v>
      </x:c>
      <x:c r="F1054" s="48" t="str">
        <x:v>experiments/results/hcl_ids/200/07.21-16.54.55/gen_apigraph_hcl_ids_cnt200_001_seed1_test_2013-01_2018-12.csv</x:v>
      </x:c>
    </x:row>
    <x:row r="1055" ht="20" customHeight="1">
      <x:c r="A1055" s="27" t="str">
        <x:v>HCL-IDS</x:v>
      </x:c>
      <x:c r="B1055" s="30" t="str">
        <x:v>2016-07</x:v>
      </x:c>
      <x:c r="C1055" s="40" t="n">
        <x:v>200</x:v>
      </x:c>
      <x:c r="D1055" s="41" t="n">
        <x:v>0.9424</x:v>
      </x:c>
      <x:c r="E1055" s="41" t="n">
        <x:v>0.0644</x:v>
      </x:c>
      <x:c r="F1055" s="48" t="str">
        <x:v>experiments/results/hcl_ids/200/07.21-16.54.55/gen_apigraph_hcl_ids_cnt200_001_seed1_test_2013-01_2018-12.csv</x:v>
      </x:c>
    </x:row>
    <x:row r="1056" ht="20" customHeight="1">
      <x:c r="A1056" s="27" t="str">
        <x:v>HCL-IDS</x:v>
      </x:c>
      <x:c r="B1056" s="30" t="str">
        <x:v>2016-08</x:v>
      </x:c>
      <x:c r="C1056" s="40" t="n">
        <x:v>200</x:v>
      </x:c>
      <x:c r="D1056" s="41" t="n">
        <x:v>0.9347</x:v>
      </x:c>
      <x:c r="E1056" s="41" t="n">
        <x:v>0.0785</x:v>
      </x:c>
      <x:c r="F1056" s="48" t="str">
        <x:v>experiments/results/hcl_ids/200/07.21-16.54.55/gen_apigraph_hcl_ids_cnt200_001_seed1_test_2013-01_2018-12.csv</x:v>
      </x:c>
    </x:row>
    <x:row r="1057" ht="20" customHeight="1">
      <x:c r="A1057" s="27" t="str">
        <x:v>HCL-IDS</x:v>
      </x:c>
      <x:c r="B1057" s="30" t="str">
        <x:v>2016-09</x:v>
      </x:c>
      <x:c r="C1057" s="40" t="n">
        <x:v>200</x:v>
      </x:c>
      <x:c r="D1057" s="41" t="n">
        <x:v>0.933</x:v>
      </x:c>
      <x:c r="E1057" s="41" t="n">
        <x:v>0.1095</x:v>
      </x:c>
      <x:c r="F1057" s="48" t="str">
        <x:v>experiments/results/hcl_ids/200/07.21-16.54.55/gen_apigraph_hcl_ids_cnt200_001_seed1_test_2013-01_2018-12.csv</x:v>
      </x:c>
    </x:row>
    <x:row r="1058" ht="20" customHeight="1">
      <x:c r="A1058" s="27" t="str">
        <x:v>HCL-IDS</x:v>
      </x:c>
      <x:c r="B1058" s="30" t="str">
        <x:v>2016-10</x:v>
      </x:c>
      <x:c r="C1058" s="40" t="n">
        <x:v>200</x:v>
      </x:c>
      <x:c r="D1058" s="41" t="n">
        <x:v>0.9504</x:v>
      </x:c>
      <x:c r="E1058" s="41" t="n">
        <x:v>0.065</x:v>
      </x:c>
      <x:c r="F1058" s="48" t="str">
        <x:v>experiments/results/hcl_ids/200/07.21-16.54.55/gen_apigraph_hcl_ids_cnt200_001_seed1_test_2013-01_2018-12.csv</x:v>
      </x:c>
    </x:row>
    <x:row r="1059" ht="20" customHeight="1">
      <x:c r="A1059" s="27" t="str">
        <x:v>HCL-IDS</x:v>
      </x:c>
      <x:c r="B1059" s="30" t="str">
        <x:v>2016-11</x:v>
      </x:c>
      <x:c r="C1059" s="40" t="n">
        <x:v>200</x:v>
      </x:c>
      <x:c r="D1059" s="41" t="n">
        <x:v>0.9537</x:v>
      </x:c>
      <x:c r="E1059" s="41" t="n">
        <x:v>0.0636</x:v>
      </x:c>
      <x:c r="F1059" s="48" t="str">
        <x:v>experiments/results/hcl_ids/200/07.21-16.54.55/gen_apigraph_hcl_ids_cnt200_001_seed1_test_2013-01_2018-12.csv</x:v>
      </x:c>
    </x:row>
    <x:row r="1060" ht="20" customHeight="1">
      <x:c r="A1060" s="27" t="str">
        <x:v>HCL-IDS</x:v>
      </x:c>
      <x:c r="B1060" s="30" t="str">
        <x:v>2016-12</x:v>
      </x:c>
      <x:c r="C1060" s="40" t="n">
        <x:v>200</x:v>
      </x:c>
      <x:c r="D1060" s="41" t="n">
        <x:v>0.879</x:v>
      </x:c>
      <x:c r="E1060" s="41" t="n">
        <x:v>0.1954</x:v>
      </x:c>
      <x:c r="F1060" s="48" t="str">
        <x:v>experiments/results/hcl_ids/200/07.21-16.54.55/gen_apigraph_hcl_ids_cnt200_001_seed1_test_2013-01_2018-12.csv</x:v>
      </x:c>
    </x:row>
    <x:row r="1061" ht="20" customHeight="1">
      <x:c r="A1061" s="27" t="str">
        <x:v>HCL-IDS</x:v>
      </x:c>
      <x:c r="B1061" s="30" t="str">
        <x:v>2017-01</x:v>
      </x:c>
      <x:c r="C1061" s="40" t="n">
        <x:v>200</x:v>
      </x:c>
      <x:c r="D1061" s="41" t="n">
        <x:v>0.9289</x:v>
      </x:c>
      <x:c r="E1061" s="41" t="n">
        <x:v>0.0813</x:v>
      </x:c>
      <x:c r="F1061" s="48" t="str">
        <x:v>experiments/results/hcl_ids/200/07.21-16.54.55/gen_apigraph_hcl_ids_cnt200_001_seed1_test_2013-01_2018-12.csv</x:v>
      </x:c>
    </x:row>
    <x:row r="1062" ht="20" customHeight="1">
      <x:c r="A1062" s="27" t="str">
        <x:v>HCL-IDS</x:v>
      </x:c>
      <x:c r="B1062" s="30" t="str">
        <x:v>2017-02</x:v>
      </x:c>
      <x:c r="C1062" s="40" t="n">
        <x:v>200</x:v>
      </x:c>
      <x:c r="D1062" s="41" t="n">
        <x:v>0.9446</x:v>
      </x:c>
      <x:c r="E1062" s="41" t="n">
        <x:v>0.0734</x:v>
      </x:c>
      <x:c r="F1062" s="48" t="str">
        <x:v>experiments/results/hcl_ids/200/07.21-16.54.55/gen_apigraph_hcl_ids_cnt200_001_seed1_test_2013-01_2018-12.csv</x:v>
      </x:c>
    </x:row>
    <x:row r="1063" ht="20" customHeight="1">
      <x:c r="A1063" s="27" t="str">
        <x:v>HCL-IDS</x:v>
      </x:c>
      <x:c r="B1063" s="30" t="str">
        <x:v>2017-03</x:v>
      </x:c>
      <x:c r="C1063" s="40" t="n">
        <x:v>200</x:v>
      </x:c>
      <x:c r="D1063" s="41" t="n">
        <x:v>0.9028</x:v>
      </x:c>
      <x:c r="E1063" s="41" t="n">
        <x:v>0.0904</x:v>
      </x:c>
      <x:c r="F1063" s="48" t="str">
        <x:v>experiments/results/hcl_ids/200/07.21-16.54.55/gen_apigraph_hcl_ids_cnt200_001_seed1_test_2013-01_2018-12.csv</x:v>
      </x:c>
    </x:row>
    <x:row r="1064" ht="20" customHeight="1">
      <x:c r="A1064" s="27" t="str">
        <x:v>HCL-IDS</x:v>
      </x:c>
      <x:c r="B1064" s="30" t="str">
        <x:v>2017-04</x:v>
      </x:c>
      <x:c r="C1064" s="40" t="n">
        <x:v>200</x:v>
      </x:c>
      <x:c r="D1064" s="41" t="n">
        <x:v>0.866</x:v>
      </x:c>
      <x:c r="E1064" s="41" t="n">
        <x:v>0.1871</x:v>
      </x:c>
      <x:c r="F1064" s="48" t="str">
        <x:v>experiments/results/hcl_ids/200/07.21-16.54.55/gen_apigraph_hcl_ids_cnt200_001_seed1_test_2013-01_2018-12.csv</x:v>
      </x:c>
    </x:row>
    <x:row r="1065" ht="20" customHeight="1">
      <x:c r="A1065" s="27" t="str">
        <x:v>HCL-IDS</x:v>
      </x:c>
      <x:c r="B1065" s="30" t="str">
        <x:v>2017-05</x:v>
      </x:c>
      <x:c r="C1065" s="40" t="n">
        <x:v>200</x:v>
      </x:c>
      <x:c r="D1065" s="41" t="n">
        <x:v>0.8973</x:v>
      </x:c>
      <x:c r="E1065" s="41" t="n">
        <x:v>0.1616</x:v>
      </x:c>
      <x:c r="F1065" s="48" t="str">
        <x:v>experiments/results/hcl_ids/200/07.21-16.54.55/gen_apigraph_hcl_ids_cnt200_001_seed1_test_2013-01_2018-12.csv</x:v>
      </x:c>
    </x:row>
    <x:row r="1066" ht="20" customHeight="1">
      <x:c r="A1066" s="27" t="str">
        <x:v>HCL-IDS</x:v>
      </x:c>
      <x:c r="B1066" s="30" t="str">
        <x:v>2017-06</x:v>
      </x:c>
      <x:c r="C1066" s="40" t="n">
        <x:v>200</x:v>
      </x:c>
      <x:c r="D1066" s="41" t="n">
        <x:v>0.9182</x:v>
      </x:c>
      <x:c r="E1066" s="41" t="n">
        <x:v>0.1062</x:v>
      </x:c>
      <x:c r="F1066" s="48" t="str">
        <x:v>experiments/results/hcl_ids/200/07.21-16.54.55/gen_apigraph_hcl_ids_cnt200_001_seed1_test_2013-01_2018-12.csv</x:v>
      </x:c>
    </x:row>
    <x:row r="1067" ht="20" customHeight="1">
      <x:c r="A1067" s="27" t="str">
        <x:v>HCL-IDS</x:v>
      </x:c>
      <x:c r="B1067" s="30" t="str">
        <x:v>2017-07</x:v>
      </x:c>
      <x:c r="C1067" s="40" t="n">
        <x:v>200</x:v>
      </x:c>
      <x:c r="D1067" s="41" t="n">
        <x:v>0.8549</x:v>
      </x:c>
      <x:c r="E1067" s="41" t="n">
        <x:v>0.1176</x:v>
      </x:c>
      <x:c r="F1067" s="48" t="str">
        <x:v>experiments/results/hcl_ids/200/07.21-16.54.55/gen_apigraph_hcl_ids_cnt200_001_seed1_test_2013-01_2018-12.csv</x:v>
      </x:c>
    </x:row>
    <x:row r="1068" ht="20" customHeight="1">
      <x:c r="A1068" s="27" t="str">
        <x:v>HCL-IDS</x:v>
      </x:c>
      <x:c r="B1068" s="30" t="str">
        <x:v>2017-08</x:v>
      </x:c>
      <x:c r="C1068" s="40" t="n">
        <x:v>200</x:v>
      </x:c>
      <x:c r="D1068" s="41" t="n">
        <x:v>0.9511</x:v>
      </x:c>
      <x:c r="E1068" s="41" t="n">
        <x:v>0.0473</x:v>
      </x:c>
      <x:c r="F1068" s="48" t="str">
        <x:v>experiments/results/hcl_ids/200/07.21-16.54.55/gen_apigraph_hcl_ids_cnt200_001_seed1_test_2013-01_2018-12.csv</x:v>
      </x:c>
    </x:row>
    <x:row r="1069" ht="20" customHeight="1">
      <x:c r="A1069" s="27" t="str">
        <x:v>HCL-IDS</x:v>
      </x:c>
      <x:c r="B1069" s="30" t="str">
        <x:v>2017-09</x:v>
      </x:c>
      <x:c r="C1069" s="40" t="n">
        <x:v>200</x:v>
      </x:c>
      <x:c r="D1069" s="41" t="n">
        <x:v>0.927</x:v>
      </x:c>
      <x:c r="E1069" s="41" t="n">
        <x:v>0.0701</x:v>
      </x:c>
      <x:c r="F1069" s="48" t="str">
        <x:v>experiments/results/hcl_ids/200/07.21-16.54.55/gen_apigraph_hcl_ids_cnt200_001_seed1_test_2013-01_2018-12.csv</x:v>
      </x:c>
    </x:row>
    <x:row r="1070" ht="20" customHeight="1">
      <x:c r="A1070" s="27" t="str">
        <x:v>HCL-IDS</x:v>
      </x:c>
      <x:c r="B1070" s="30" t="str">
        <x:v>2017-10</x:v>
      </x:c>
      <x:c r="C1070" s="40" t="n">
        <x:v>200</x:v>
      </x:c>
      <x:c r="D1070" s="41" t="n">
        <x:v>0.9245</x:v>
      </x:c>
      <x:c r="E1070" s="41" t="n">
        <x:v>0.1131</x:v>
      </x:c>
      <x:c r="F1070" s="48" t="str">
        <x:v>experiments/results/hcl_ids/200/07.21-16.54.55/gen_apigraph_hcl_ids_cnt200_001_seed1_test_2013-01_2018-12.csv</x:v>
      </x:c>
    </x:row>
    <x:row r="1071" ht="20" customHeight="1">
      <x:c r="A1071" s="27" t="str">
        <x:v>HCL-IDS</x:v>
      </x:c>
      <x:c r="B1071" s="30" t="str">
        <x:v>2017-11</x:v>
      </x:c>
      <x:c r="C1071" s="40" t="n">
        <x:v>200</x:v>
      </x:c>
      <x:c r="D1071" s="41" t="n">
        <x:v>0.9198</x:v>
      </x:c>
      <x:c r="E1071" s="41" t="n">
        <x:v>0.0652</x:v>
      </x:c>
      <x:c r="F1071" s="48" t="str">
        <x:v>experiments/results/hcl_ids/200/07.21-16.54.55/gen_apigraph_hcl_ids_cnt200_001_seed1_test_2013-01_2018-12.csv</x:v>
      </x:c>
    </x:row>
    <x:row r="1072" ht="20" customHeight="1">
      <x:c r="A1072" s="27" t="str">
        <x:v>HCL-IDS</x:v>
      </x:c>
      <x:c r="B1072" s="30" t="str">
        <x:v>2017-12</x:v>
      </x:c>
      <x:c r="C1072" s="40" t="n">
        <x:v>200</x:v>
      </x:c>
      <x:c r="D1072" s="41" t="n">
        <x:v>0.9084</x:v>
      </x:c>
      <x:c r="E1072" s="41" t="n">
        <x:v>0.048</x:v>
      </x:c>
      <x:c r="F1072" s="48" t="str">
        <x:v>experiments/results/hcl_ids/200/07.21-16.54.55/gen_apigraph_hcl_ids_cnt200_001_seed1_test_2013-01_2018-12.csv</x:v>
      </x:c>
    </x:row>
    <x:row r="1073" ht="20" customHeight="1">
      <x:c r="A1073" s="27" t="str">
        <x:v>HCL-IDS</x:v>
      </x:c>
      <x:c r="B1073" s="30" t="str">
        <x:v>2018-01</x:v>
      </x:c>
      <x:c r="C1073" s="40" t="n">
        <x:v>200</x:v>
      </x:c>
      <x:c r="D1073" s="41" t="n">
        <x:v>0.9175</x:v>
      </x:c>
      <x:c r="E1073" s="41" t="n">
        <x:v>0.0915</x:v>
      </x:c>
      <x:c r="F1073" s="48" t="str">
        <x:v>experiments/results/hcl_ids/200/07.21-16.54.55/gen_apigraph_hcl_ids_cnt200_001_seed1_test_2013-01_2018-12.csv</x:v>
      </x:c>
    </x:row>
    <x:row r="1074" ht="20" customHeight="1">
      <x:c r="A1074" s="27" t="str">
        <x:v>HCL-IDS</x:v>
      </x:c>
      <x:c r="B1074" s="30" t="str">
        <x:v>2018-02</x:v>
      </x:c>
      <x:c r="C1074" s="40" t="n">
        <x:v>200</x:v>
      </x:c>
      <x:c r="D1074" s="41" t="n">
        <x:v>0.9085</x:v>
      </x:c>
      <x:c r="E1074" s="41" t="n">
        <x:v>0.1103</x:v>
      </x:c>
      <x:c r="F1074" s="48" t="str">
        <x:v>experiments/results/hcl_ids/200/07.21-16.54.55/gen_apigraph_hcl_ids_cnt200_001_seed1_test_2013-01_2018-12.csv</x:v>
      </x:c>
    </x:row>
    <x:row r="1075" ht="20" customHeight="1">
      <x:c r="A1075" s="27" t="str">
        <x:v>HCL-IDS</x:v>
      </x:c>
      <x:c r="B1075" s="30" t="str">
        <x:v>2018-03</x:v>
      </x:c>
      <x:c r="C1075" s="40" t="n">
        <x:v>200</x:v>
      </x:c>
      <x:c r="D1075" s="41" t="n">
        <x:v>0.9351</x:v>
      </x:c>
      <x:c r="E1075" s="41" t="n">
        <x:v>0.0803</x:v>
      </x:c>
      <x:c r="F1075" s="48" t="str">
        <x:v>experiments/results/hcl_ids/200/07.21-16.54.55/gen_apigraph_hcl_ids_cnt200_001_seed1_test_2013-01_2018-12.csv</x:v>
      </x:c>
    </x:row>
    <x:row r="1076" ht="20" customHeight="1">
      <x:c r="A1076" s="27" t="str">
        <x:v>HCL-IDS</x:v>
      </x:c>
      <x:c r="B1076" s="30" t="str">
        <x:v>2018-04</x:v>
      </x:c>
      <x:c r="C1076" s="40" t="n">
        <x:v>200</x:v>
      </x:c>
      <x:c r="D1076" s="41" t="n">
        <x:v>0.9431</x:v>
      </x:c>
      <x:c r="E1076" s="41" t="n">
        <x:v>0.0569</x:v>
      </x:c>
      <x:c r="F1076" s="48" t="str">
        <x:v>experiments/results/hcl_ids/200/07.21-16.54.55/gen_apigraph_hcl_ids_cnt200_001_seed1_test_2013-01_2018-12.csv</x:v>
      </x:c>
    </x:row>
    <x:row r="1077" ht="20" customHeight="1">
      <x:c r="A1077" s="27" t="str">
        <x:v>HCL-IDS</x:v>
      </x:c>
      <x:c r="B1077" s="30" t="str">
        <x:v>2018-05</x:v>
      </x:c>
      <x:c r="C1077" s="40" t="n">
        <x:v>200</x:v>
      </x:c>
      <x:c r="D1077" s="41" t="n">
        <x:v>0.9372</x:v>
      </x:c>
      <x:c r="E1077" s="41" t="n">
        <x:v>0.0744</x:v>
      </x:c>
      <x:c r="F1077" s="48" t="str">
        <x:v>experiments/results/hcl_ids/200/07.21-16.54.55/gen_apigraph_hcl_ids_cnt200_001_seed1_test_2013-01_2018-12.csv</x:v>
      </x:c>
    </x:row>
    <x:row r="1078" ht="20" customHeight="1">
      <x:c r="A1078" s="27" t="str">
        <x:v>HCL-IDS</x:v>
      </x:c>
      <x:c r="B1078" s="30" t="str">
        <x:v>2018-06</x:v>
      </x:c>
      <x:c r="C1078" s="40" t="n">
        <x:v>200</x:v>
      </x:c>
      <x:c r="D1078" s="41" t="n">
        <x:v>0.9105</x:v>
      </x:c>
      <x:c r="E1078" s="41" t="n">
        <x:v>0.1485</x:v>
      </x:c>
      <x:c r="F1078" s="48" t="str">
        <x:v>experiments/results/hcl_ids/200/07.21-16.54.55/gen_apigraph_hcl_ids_cnt200_001_seed1_test_2013-01_2018-12.csv</x:v>
      </x:c>
    </x:row>
    <x:row r="1079" ht="20" customHeight="1">
      <x:c r="A1079" s="27" t="str">
        <x:v>HCL-IDS</x:v>
      </x:c>
      <x:c r="B1079" s="30" t="str">
        <x:v>2018-07</x:v>
      </x:c>
      <x:c r="C1079" s="40" t="n">
        <x:v>200</x:v>
      </x:c>
      <x:c r="D1079" s="41" t="n">
        <x:v>0.9316</x:v>
      </x:c>
      <x:c r="E1079" s="41" t="n">
        <x:v>0.1066</x:v>
      </x:c>
      <x:c r="F1079" s="48" t="str">
        <x:v>experiments/results/hcl_ids/200/07.21-16.54.55/gen_apigraph_hcl_ids_cnt200_001_seed1_test_2013-01_2018-12.csv</x:v>
      </x:c>
    </x:row>
    <x:row r="1080" ht="20" customHeight="1">
      <x:c r="A1080" s="27" t="str">
        <x:v>HCL-IDS</x:v>
      </x:c>
      <x:c r="B1080" s="30" t="str">
        <x:v>2018-08</x:v>
      </x:c>
      <x:c r="C1080" s="40" t="n">
        <x:v>200</x:v>
      </x:c>
      <x:c r="D1080" s="41" t="n">
        <x:v>0.9159</x:v>
      </x:c>
      <x:c r="E1080" s="41" t="n">
        <x:v>0.1203</x:v>
      </x:c>
      <x:c r="F1080" s="48" t="str">
        <x:v>experiments/results/hcl_ids/200/07.21-16.54.55/gen_apigraph_hcl_ids_cnt200_001_seed1_test_2013-01_2018-12.csv</x:v>
      </x:c>
    </x:row>
    <x:row r="1081" ht="20" customHeight="1">
      <x:c r="A1081" s="27" t="str">
        <x:v>HCL-IDS</x:v>
      </x:c>
      <x:c r="B1081" s="30" t="str">
        <x:v>2018-09</x:v>
      </x:c>
      <x:c r="C1081" s="40" t="n">
        <x:v>200</x:v>
      </x:c>
      <x:c r="D1081" s="41" t="n">
        <x:v>0.8737</x:v>
      </x:c>
      <x:c r="E1081" s="41" t="n">
        <x:v>0.1769</x:v>
      </x:c>
      <x:c r="F1081" s="48" t="str">
        <x:v>experiments/results/hcl_ids/200/07.21-16.54.55/gen_apigraph_hcl_ids_cnt200_001_seed1_test_2013-01_2018-12.csv</x:v>
      </x:c>
    </x:row>
    <x:row r="1082" ht="20" customHeight="1">
      <x:c r="A1082" s="27" t="str">
        <x:v>HCL-IDS</x:v>
      </x:c>
      <x:c r="B1082" s="30" t="str">
        <x:v>2018-10</x:v>
      </x:c>
      <x:c r="C1082" s="40" t="n">
        <x:v>200</x:v>
      </x:c>
      <x:c r="D1082" s="41" t="n">
        <x:v>0.8805</x:v>
      </x:c>
      <x:c r="E1082" s="41" t="n">
        <x:v>0.1704</x:v>
      </x:c>
      <x:c r="F1082" s="48" t="str">
        <x:v>experiments/results/hcl_ids/200/07.21-16.54.55/gen_apigraph_hcl_ids_cnt200_001_seed1_test_2013-01_2018-12.csv</x:v>
      </x:c>
    </x:row>
    <x:row r="1083" ht="20" customHeight="1">
      <x:c r="A1083" s="27" t="str">
        <x:v>HCL-IDS</x:v>
      </x:c>
      <x:c r="B1083" s="30" t="str">
        <x:v>2018-11</x:v>
      </x:c>
      <x:c r="C1083" s="40" t="n">
        <x:v>200</x:v>
      </x:c>
      <x:c r="D1083" s="41" t="n">
        <x:v>0.9559</x:v>
      </x:c>
      <x:c r="E1083" s="41" t="n">
        <x:v>0.0557</x:v>
      </x:c>
      <x:c r="F1083" s="48" t="str">
        <x:v>experiments/results/hcl_ids/200/07.21-16.54.55/gen_apigraph_hcl_ids_cnt200_001_seed1_test_2013-01_2018-12.csv</x:v>
      </x:c>
    </x:row>
    <x:row r="1084" ht="20" customHeight="1">
      <x:c r="A1084" s="27" t="str">
        <x:v>HCL-IDS</x:v>
      </x:c>
      <x:c r="B1084" s="30" t="str">
        <x:v>2018-12</x:v>
      </x:c>
      <x:c r="C1084" s="40" t="n">
        <x:v>200</x:v>
      </x:c>
      <x:c r="D1084" s="41" t="n">
        <x:v>0.9565</x:v>
      </x:c>
      <x:c r="E1084" s="41" t="n">
        <x:v>0.0311</x:v>
      </x:c>
      <x:c r="F1084" s="48" t="str">
        <x:v>experiments/results/hcl_ids/200/07.21-16.54.55/gen_apigraph_hcl_ids_cnt200_001_seed1_test_2013-01_2018-12.csv</x:v>
      </x:c>
    </x:row>
    <x:row r="1085" ht="20" customHeight="1">
      <x:c r="A1085" s="27" t="str">
        <x:v>HCL-IDS</x:v>
      </x:c>
      <x:c r="B1085" s="30" t="str">
        <x:v>2013-01</x:v>
      </x:c>
      <x:c r="C1085" s="40" t="n">
        <x:v>300</x:v>
      </x:c>
      <x:c r="D1085" s="41" t="n">
        <x:v>0.9549</x:v>
      </x:c>
      <x:c r="E1085" s="41" t="n">
        <x:v>0.026</x:v>
      </x:c>
      <x:c r="F1085" s="48" t="str">
        <x:v>experiments/results/hcl_ids/300/07.21-19.53.21/gen_apigraph_hcl_ids_cnt300_001_seed1_test_2013-01_2018-12.csv</x:v>
      </x:c>
    </x:row>
    <x:row r="1086" ht="20" customHeight="1">
      <x:c r="A1086" s="27" t="str">
        <x:v>HCL-IDS</x:v>
      </x:c>
      <x:c r="B1086" s="30" t="str">
        <x:v>2013-02</x:v>
      </x:c>
      <x:c r="C1086" s="40" t="n">
        <x:v>300</x:v>
      </x:c>
      <x:c r="D1086" s="41" t="n">
        <x:v>0.9033</x:v>
      </x:c>
      <x:c r="E1086" s="41" t="n">
        <x:v>0.1531</x:v>
      </x:c>
      <x:c r="F1086" s="48" t="str">
        <x:v>experiments/results/hcl_ids/300/07.21-19.53.21/gen_apigraph_hcl_ids_cnt300_001_seed1_test_2013-01_2018-12.csv</x:v>
      </x:c>
    </x:row>
    <x:row r="1087" ht="20" customHeight="1">
      <x:c r="A1087" s="27" t="str">
        <x:v>HCL-IDS</x:v>
      </x:c>
      <x:c r="B1087" s="30" t="str">
        <x:v>2013-03</x:v>
      </x:c>
      <x:c r="C1087" s="40" t="n">
        <x:v>300</x:v>
      </x:c>
      <x:c r="D1087" s="41" t="n">
        <x:v>0.9132</x:v>
      </x:c>
      <x:c r="E1087" s="41" t="n">
        <x:v>0.095</x:v>
      </x:c>
      <x:c r="F1087" s="48" t="str">
        <x:v>experiments/results/hcl_ids/300/07.21-19.53.21/gen_apigraph_hcl_ids_cnt300_001_seed1_test_2013-01_2018-12.csv</x:v>
      </x:c>
    </x:row>
    <x:row r="1088" ht="20" customHeight="1">
      <x:c r="A1088" s="27" t="str">
        <x:v>HCL-IDS</x:v>
      </x:c>
      <x:c r="B1088" s="30" t="str">
        <x:v>2013-04</x:v>
      </x:c>
      <x:c r="C1088" s="40" t="n">
        <x:v>300</x:v>
      </x:c>
      <x:c r="D1088" s="41" t="n">
        <x:v>0.9398</x:v>
      </x:c>
      <x:c r="E1088" s="41" t="n">
        <x:v>0.0977</x:v>
      </x:c>
      <x:c r="F1088" s="48" t="str">
        <x:v>experiments/results/hcl_ids/300/07.21-19.53.21/gen_apigraph_hcl_ids_cnt300_001_seed1_test_2013-01_2018-12.csv</x:v>
      </x:c>
    </x:row>
    <x:row r="1089" ht="20" customHeight="1">
      <x:c r="A1089" s="27" t="str">
        <x:v>HCL-IDS</x:v>
      </x:c>
      <x:c r="B1089" s="30" t="str">
        <x:v>2013-05</x:v>
      </x:c>
      <x:c r="C1089" s="40" t="n">
        <x:v>300</x:v>
      </x:c>
      <x:c r="D1089" s="41" t="n">
        <x:v>0.9182</x:v>
      </x:c>
      <x:c r="E1089" s="41" t="n">
        <x:v>0.1266</x:v>
      </x:c>
      <x:c r="F1089" s="48" t="str">
        <x:v>experiments/results/hcl_ids/300/07.21-19.53.21/gen_apigraph_hcl_ids_cnt300_001_seed1_test_2013-01_2018-12.csv</x:v>
      </x:c>
    </x:row>
    <x:row r="1090" ht="20" customHeight="1">
      <x:c r="A1090" s="27" t="str">
        <x:v>HCL-IDS</x:v>
      </x:c>
      <x:c r="B1090" s="30" t="str">
        <x:v>2013-06</x:v>
      </x:c>
      <x:c r="C1090" s="40" t="n">
        <x:v>300</x:v>
      </x:c>
      <x:c r="D1090" s="41" t="n">
        <x:v>0.9257</x:v>
      </x:c>
      <x:c r="E1090" s="41" t="n">
        <x:v>0.1154</x:v>
      </x:c>
      <x:c r="F1090" s="48" t="str">
        <x:v>experiments/results/hcl_ids/300/07.21-19.53.21/gen_apigraph_hcl_ids_cnt300_001_seed1_test_2013-01_2018-12.csv</x:v>
      </x:c>
    </x:row>
    <x:row r="1091" ht="20" customHeight="1">
      <x:c r="A1091" s="27" t="str">
        <x:v>HCL-IDS</x:v>
      </x:c>
      <x:c r="B1091" s="30" t="str">
        <x:v>2013-07</x:v>
      </x:c>
      <x:c r="C1091" s="40" t="n">
        <x:v>300</x:v>
      </x:c>
      <x:c r="D1091" s="41" t="n">
        <x:v>0.9333</x:v>
      </x:c>
      <x:c r="E1091" s="41" t="n">
        <x:v>0.087</x:v>
      </x:c>
      <x:c r="F1091" s="48" t="str">
        <x:v>experiments/results/hcl_ids/300/07.21-19.53.21/gen_apigraph_hcl_ids_cnt300_001_seed1_test_2013-01_2018-12.csv</x:v>
      </x:c>
    </x:row>
    <x:row r="1092" ht="20" customHeight="1">
      <x:c r="A1092" s="27" t="str">
        <x:v>HCL-IDS</x:v>
      </x:c>
      <x:c r="B1092" s="30" t="str">
        <x:v>2013-08</x:v>
      </x:c>
      <x:c r="C1092" s="40" t="n">
        <x:v>300</x:v>
      </x:c>
      <x:c r="D1092" s="41" t="n">
        <x:v>0.9345</x:v>
      </x:c>
      <x:c r="E1092" s="41" t="n">
        <x:v>0.0868</x:v>
      </x:c>
      <x:c r="F1092" s="48" t="str">
        <x:v>experiments/results/hcl_ids/300/07.21-19.53.21/gen_apigraph_hcl_ids_cnt300_001_seed1_test_2013-01_2018-12.csv</x:v>
      </x:c>
    </x:row>
    <x:row r="1093" ht="20" customHeight="1">
      <x:c r="A1093" s="27" t="str">
        <x:v>HCL-IDS</x:v>
      </x:c>
      <x:c r="B1093" s="30" t="str">
        <x:v>2013-09</x:v>
      </x:c>
      <x:c r="C1093" s="40" t="n">
        <x:v>300</x:v>
      </x:c>
      <x:c r="D1093" s="41" t="n">
        <x:v>0.8875</x:v>
      </x:c>
      <x:c r="E1093" s="41" t="n">
        <x:v>0.164</x:v>
      </x:c>
      <x:c r="F1093" s="48" t="str">
        <x:v>experiments/results/hcl_ids/300/07.21-19.53.21/gen_apigraph_hcl_ids_cnt300_001_seed1_test_2013-01_2018-12.csv</x:v>
      </x:c>
    </x:row>
    <x:row r="1094" ht="20" customHeight="1">
      <x:c r="A1094" s="27" t="str">
        <x:v>HCL-IDS</x:v>
      </x:c>
      <x:c r="B1094" s="30" t="str">
        <x:v>2013-10</x:v>
      </x:c>
      <x:c r="C1094" s="40" t="n">
        <x:v>300</x:v>
      </x:c>
      <x:c r="D1094" s="41" t="n">
        <x:v>0.901</x:v>
      </x:c>
      <x:c r="E1094" s="41" t="n">
        <x:v>0.1242</x:v>
      </x:c>
      <x:c r="F1094" s="48" t="str">
        <x:v>experiments/results/hcl_ids/300/07.21-19.53.21/gen_apigraph_hcl_ids_cnt300_001_seed1_test_2013-01_2018-12.csv</x:v>
      </x:c>
    </x:row>
    <x:row r="1095" ht="20" customHeight="1">
      <x:c r="A1095" s="27" t="str">
        <x:v>HCL-IDS</x:v>
      </x:c>
      <x:c r="B1095" s="30" t="str">
        <x:v>2013-11</x:v>
      </x:c>
      <x:c r="C1095" s="40" t="n">
        <x:v>300</x:v>
      </x:c>
      <x:c r="D1095" s="41" t="n">
        <x:v>0.8946</x:v>
      </x:c>
      <x:c r="E1095" s="41" t="n">
        <x:v>0.1596</x:v>
      </x:c>
      <x:c r="F1095" s="48" t="str">
        <x:v>experiments/results/hcl_ids/300/07.21-19.53.21/gen_apigraph_hcl_ids_cnt300_001_seed1_test_2013-01_2018-12.csv</x:v>
      </x:c>
    </x:row>
    <x:row r="1096" ht="20" customHeight="1">
      <x:c r="A1096" s="27" t="str">
        <x:v>HCL-IDS</x:v>
      </x:c>
      <x:c r="B1096" s="30" t="str">
        <x:v>2013-12</x:v>
      </x:c>
      <x:c r="C1096" s="40" t="n">
        <x:v>300</x:v>
      </x:c>
      <x:c r="D1096" s="41" t="n">
        <x:v>0.9406</x:v>
      </x:c>
      <x:c r="E1096" s="41" t="n">
        <x:v>0.0802</x:v>
      </x:c>
      <x:c r="F1096" s="48" t="str">
        <x:v>experiments/results/hcl_ids/300/07.21-19.53.21/gen_apigraph_hcl_ids_cnt300_001_seed1_test_2013-01_2018-12.csv</x:v>
      </x:c>
    </x:row>
    <x:row r="1097" ht="20" customHeight="1">
      <x:c r="A1097" s="27" t="str">
        <x:v>HCL-IDS</x:v>
      </x:c>
      <x:c r="B1097" s="30" t="str">
        <x:v>2014-01</x:v>
      </x:c>
      <x:c r="C1097" s="40" t="n">
        <x:v>300</x:v>
      </x:c>
      <x:c r="D1097" s="41" t="n">
        <x:v>0.8985</x:v>
      </x:c>
      <x:c r="E1097" s="41" t="n">
        <x:v>0.1562</x:v>
      </x:c>
      <x:c r="F1097" s="48" t="str">
        <x:v>experiments/results/hcl_ids/300/07.21-19.53.21/gen_apigraph_hcl_ids_cnt300_001_seed1_test_2013-01_2018-12.csv</x:v>
      </x:c>
    </x:row>
    <x:row r="1098" ht="20" customHeight="1">
      <x:c r="A1098" s="27" t="str">
        <x:v>HCL-IDS</x:v>
      </x:c>
      <x:c r="B1098" s="30" t="str">
        <x:v>2014-02</x:v>
      </x:c>
      <x:c r="C1098" s="40" t="n">
        <x:v>300</x:v>
      </x:c>
      <x:c r="D1098" s="41" t="n">
        <x:v>0.9361</x:v>
      </x:c>
      <x:c r="E1098" s="41" t="n">
        <x:v>0.097</x:v>
      </x:c>
      <x:c r="F1098" s="48" t="str">
        <x:v>experiments/results/hcl_ids/300/07.21-19.53.21/gen_apigraph_hcl_ids_cnt300_001_seed1_test_2013-01_2018-12.csv</x:v>
      </x:c>
    </x:row>
    <x:row r="1099" ht="20" customHeight="1">
      <x:c r="A1099" s="27" t="str">
        <x:v>HCL-IDS</x:v>
      </x:c>
      <x:c r="B1099" s="30" t="str">
        <x:v>2014-03</x:v>
      </x:c>
      <x:c r="C1099" s="40" t="n">
        <x:v>300</x:v>
      </x:c>
      <x:c r="D1099" s="41" t="n">
        <x:v>0.9129</x:v>
      </x:c>
      <x:c r="E1099" s="41" t="n">
        <x:v>0.1194</x:v>
      </x:c>
      <x:c r="F1099" s="48" t="str">
        <x:v>experiments/results/hcl_ids/300/07.21-19.53.21/gen_apigraph_hcl_ids_cnt300_001_seed1_test_2013-01_2018-12.csv</x:v>
      </x:c>
    </x:row>
    <x:row r="1100" ht="20" customHeight="1">
      <x:c r="A1100" s="27" t="str">
        <x:v>HCL-IDS</x:v>
      </x:c>
      <x:c r="B1100" s="30" t="str">
        <x:v>2014-04</x:v>
      </x:c>
      <x:c r="C1100" s="40" t="n">
        <x:v>300</x:v>
      </x:c>
      <x:c r="D1100" s="41" t="n">
        <x:v>0.898</x:v>
      </x:c>
      <x:c r="E1100" s="41" t="n">
        <x:v>0.1295</x:v>
      </x:c>
      <x:c r="F1100" s="48" t="str">
        <x:v>experiments/results/hcl_ids/300/07.21-19.53.21/gen_apigraph_hcl_ids_cnt300_001_seed1_test_2013-01_2018-12.csv</x:v>
      </x:c>
    </x:row>
    <x:row r="1101" ht="20" customHeight="1">
      <x:c r="A1101" s="27" t="str">
        <x:v>HCL-IDS</x:v>
      </x:c>
      <x:c r="B1101" s="30" t="str">
        <x:v>2014-05</x:v>
      </x:c>
      <x:c r="C1101" s="40" t="n">
        <x:v>300</x:v>
      </x:c>
      <x:c r="D1101" s="41" t="n">
        <x:v>0.8815</x:v>
      </x:c>
      <x:c r="E1101" s="41" t="n">
        <x:v>0.1771</x:v>
      </x:c>
      <x:c r="F1101" s="48" t="str">
        <x:v>experiments/results/hcl_ids/300/07.21-19.53.21/gen_apigraph_hcl_ids_cnt300_001_seed1_test_2013-01_2018-12.csv</x:v>
      </x:c>
    </x:row>
    <x:row r="1102" ht="20" customHeight="1">
      <x:c r="A1102" s="27" t="str">
        <x:v>HCL-IDS</x:v>
      </x:c>
      <x:c r="B1102" s="30" t="str">
        <x:v>2014-06</x:v>
      </x:c>
      <x:c r="C1102" s="40" t="n">
        <x:v>300</x:v>
      </x:c>
      <x:c r="D1102" s="41" t="n">
        <x:v>0.8391</x:v>
      </x:c>
      <x:c r="E1102" s="41" t="n">
        <x:v>0.241</x:v>
      </x:c>
      <x:c r="F1102" s="48" t="str">
        <x:v>experiments/results/hcl_ids/300/07.21-19.53.21/gen_apigraph_hcl_ids_cnt300_001_seed1_test_2013-01_2018-12.csv</x:v>
      </x:c>
    </x:row>
    <x:row r="1103" ht="20" customHeight="1">
      <x:c r="A1103" s="27" t="str">
        <x:v>HCL-IDS</x:v>
      </x:c>
      <x:c r="B1103" s="30" t="str">
        <x:v>2014-07</x:v>
      </x:c>
      <x:c r="C1103" s="40" t="n">
        <x:v>300</x:v>
      </x:c>
      <x:c r="D1103" s="41" t="n">
        <x:v>0.8273</x:v>
      </x:c>
      <x:c r="E1103" s="41" t="n">
        <x:v>0.2705</x:v>
      </x:c>
      <x:c r="F1103" s="48" t="str">
        <x:v>experiments/results/hcl_ids/300/07.21-19.53.21/gen_apigraph_hcl_ids_cnt300_001_seed1_test_2013-01_2018-12.csv</x:v>
      </x:c>
    </x:row>
    <x:row r="1104" ht="20" customHeight="1">
      <x:c r="A1104" s="27" t="str">
        <x:v>HCL-IDS</x:v>
      </x:c>
      <x:c r="B1104" s="30" t="str">
        <x:v>2014-08</x:v>
      </x:c>
      <x:c r="C1104" s="40" t="n">
        <x:v>300</x:v>
      </x:c>
      <x:c r="D1104" s="41" t="n">
        <x:v>0.874</x:v>
      </x:c>
      <x:c r="E1104" s="41" t="n">
        <x:v>0.1956</x:v>
      </x:c>
      <x:c r="F1104" s="48" t="str">
        <x:v>experiments/results/hcl_ids/300/07.21-19.53.21/gen_apigraph_hcl_ids_cnt300_001_seed1_test_2013-01_2018-12.csv</x:v>
      </x:c>
    </x:row>
    <x:row r="1105" ht="20" customHeight="1">
      <x:c r="A1105" s="27" t="str">
        <x:v>HCL-IDS</x:v>
      </x:c>
      <x:c r="B1105" s="30" t="str">
        <x:v>2014-09</x:v>
      </x:c>
      <x:c r="C1105" s="40" t="n">
        <x:v>300</x:v>
      </x:c>
      <x:c r="D1105" s="41" t="n">
        <x:v>0.8654</x:v>
      </x:c>
      <x:c r="E1105" s="41" t="n">
        <x:v>0.2227</x:v>
      </x:c>
      <x:c r="F1105" s="48" t="str">
        <x:v>experiments/results/hcl_ids/300/07.21-19.53.21/gen_apigraph_hcl_ids_cnt300_001_seed1_test_2013-01_2018-12.csv</x:v>
      </x:c>
    </x:row>
    <x:row r="1106" ht="20" customHeight="1">
      <x:c r="A1106" s="27" t="str">
        <x:v>HCL-IDS</x:v>
      </x:c>
      <x:c r="B1106" s="30" t="str">
        <x:v>2014-10</x:v>
      </x:c>
      <x:c r="C1106" s="40" t="n">
        <x:v>300</x:v>
      </x:c>
      <x:c r="D1106" s="41" t="n">
        <x:v>0.8504</x:v>
      </x:c>
      <x:c r="E1106" s="41" t="n">
        <x:v>0.227</x:v>
      </x:c>
      <x:c r="F1106" s="48" t="str">
        <x:v>experiments/results/hcl_ids/300/07.21-19.53.21/gen_apigraph_hcl_ids_cnt300_001_seed1_test_2013-01_2018-12.csv</x:v>
      </x:c>
    </x:row>
    <x:row r="1107" ht="20" customHeight="1">
      <x:c r="A1107" s="27" t="str">
        <x:v>HCL-IDS</x:v>
      </x:c>
      <x:c r="B1107" s="30" t="str">
        <x:v>2014-11</x:v>
      </x:c>
      <x:c r="C1107" s="40" t="n">
        <x:v>300</x:v>
      </x:c>
      <x:c r="D1107" s="41" t="n">
        <x:v>0.9244</x:v>
      </x:c>
      <x:c r="E1107" s="41" t="n">
        <x:v>0.1075</x:v>
      </x:c>
      <x:c r="F1107" s="48" t="str">
        <x:v>experiments/results/hcl_ids/300/07.21-19.53.21/gen_apigraph_hcl_ids_cnt300_001_seed1_test_2013-01_2018-12.csv</x:v>
      </x:c>
    </x:row>
    <x:row r="1108" ht="20" customHeight="1">
      <x:c r="A1108" s="27" t="str">
        <x:v>HCL-IDS</x:v>
      </x:c>
      <x:c r="B1108" s="30" t="str">
        <x:v>2014-12</x:v>
      </x:c>
      <x:c r="C1108" s="40" t="n">
        <x:v>300</x:v>
      </x:c>
      <x:c r="D1108" s="41" t="n">
        <x:v>0.8886</x:v>
      </x:c>
      <x:c r="E1108" s="41" t="n">
        <x:v>0.1826</x:v>
      </x:c>
      <x:c r="F1108" s="48" t="str">
        <x:v>experiments/results/hcl_ids/300/07.21-19.53.21/gen_apigraph_hcl_ids_cnt300_001_seed1_test_2013-01_2018-12.csv</x:v>
      </x:c>
    </x:row>
    <x:row r="1109" ht="20" customHeight="1">
      <x:c r="A1109" s="27" t="str">
        <x:v>HCL-IDS</x:v>
      </x:c>
      <x:c r="B1109" s="30" t="str">
        <x:v>2015-01</x:v>
      </x:c>
      <x:c r="C1109" s="40" t="n">
        <x:v>300</x:v>
      </x:c>
      <x:c r="D1109" s="41" t="n">
        <x:v>0.8793</x:v>
      </x:c>
      <x:c r="E1109" s="41" t="n">
        <x:v>0.1925</x:v>
      </x:c>
      <x:c r="F1109" s="48" t="str">
        <x:v>experiments/results/hcl_ids/300/07.21-19.53.21/gen_apigraph_hcl_ids_cnt300_001_seed1_test_2013-01_2018-12.csv</x:v>
      </x:c>
    </x:row>
    <x:row r="1110" ht="20" customHeight="1">
      <x:c r="A1110" s="27" t="str">
        <x:v>HCL-IDS</x:v>
      </x:c>
      <x:c r="B1110" s="30" t="str">
        <x:v>2015-02</x:v>
      </x:c>
      <x:c r="C1110" s="40" t="n">
        <x:v>300</x:v>
      </x:c>
      <x:c r="D1110" s="41" t="n">
        <x:v>0.9312</x:v>
      </x:c>
      <x:c r="E1110" s="41" t="n">
        <x:v>0.1017</x:v>
      </x:c>
      <x:c r="F1110" s="48" t="str">
        <x:v>experiments/results/hcl_ids/300/07.21-19.53.21/gen_apigraph_hcl_ids_cnt300_001_seed1_test_2013-01_2018-12.csv</x:v>
      </x:c>
    </x:row>
    <x:row r="1111" ht="20" customHeight="1">
      <x:c r="A1111" s="27" t="str">
        <x:v>HCL-IDS</x:v>
      </x:c>
      <x:c r="B1111" s="30" t="str">
        <x:v>2015-03</x:v>
      </x:c>
      <x:c r="C1111" s="40" t="n">
        <x:v>300</x:v>
      </x:c>
      <x:c r="D1111" s="41" t="n">
        <x:v>0.9361</x:v>
      </x:c>
      <x:c r="E1111" s="41" t="n">
        <x:v>0.0977</x:v>
      </x:c>
      <x:c r="F1111" s="48" t="str">
        <x:v>experiments/results/hcl_ids/300/07.21-19.53.21/gen_apigraph_hcl_ids_cnt300_001_seed1_test_2013-01_2018-12.csv</x:v>
      </x:c>
    </x:row>
    <x:row r="1112" ht="20" customHeight="1">
      <x:c r="A1112" s="27" t="str">
        <x:v>HCL-IDS</x:v>
      </x:c>
      <x:c r="B1112" s="30" t="str">
        <x:v>2015-04</x:v>
      </x:c>
      <x:c r="C1112" s="40" t="n">
        <x:v>300</x:v>
      </x:c>
      <x:c r="D1112" s="41" t="n">
        <x:v>0.9491</x:v>
      </x:c>
      <x:c r="E1112" s="41" t="n">
        <x:v>0.0814</x:v>
      </x:c>
      <x:c r="F1112" s="48" t="str">
        <x:v>experiments/results/hcl_ids/300/07.21-19.53.21/gen_apigraph_hcl_ids_cnt300_001_seed1_test_2013-01_2018-12.csv</x:v>
      </x:c>
    </x:row>
    <x:row r="1113" ht="20" customHeight="1">
      <x:c r="A1113" s="27" t="str">
        <x:v>HCL-IDS</x:v>
      </x:c>
      <x:c r="B1113" s="30" t="str">
        <x:v>2015-05</x:v>
      </x:c>
      <x:c r="C1113" s="40" t="n">
        <x:v>300</x:v>
      </x:c>
      <x:c r="D1113" s="41" t="n">
        <x:v>0.9336</x:v>
      </x:c>
      <x:c r="E1113" s="41" t="n">
        <x:v>0.0968</x:v>
      </x:c>
      <x:c r="F1113" s="48" t="str">
        <x:v>experiments/results/hcl_ids/300/07.21-19.53.21/gen_apigraph_hcl_ids_cnt300_001_seed1_test_2013-01_2018-12.csv</x:v>
      </x:c>
    </x:row>
    <x:row r="1114" ht="20" customHeight="1">
      <x:c r="A1114" s="27" t="str">
        <x:v>HCL-IDS</x:v>
      </x:c>
      <x:c r="B1114" s="30" t="str">
        <x:v>2015-06</x:v>
      </x:c>
      <x:c r="C1114" s="40" t="n">
        <x:v>300</x:v>
      </x:c>
      <x:c r="D1114" s="41" t="n">
        <x:v>0.94</x:v>
      </x:c>
      <x:c r="E1114" s="41" t="n">
        <x:v>0.0919</x:v>
      </x:c>
      <x:c r="F1114" s="48" t="str">
        <x:v>experiments/results/hcl_ids/300/07.21-19.53.21/gen_apigraph_hcl_ids_cnt300_001_seed1_test_2013-01_2018-12.csv</x:v>
      </x:c>
    </x:row>
    <x:row r="1115" ht="20" customHeight="1">
      <x:c r="A1115" s="27" t="str">
        <x:v>HCL-IDS</x:v>
      </x:c>
      <x:c r="B1115" s="30" t="str">
        <x:v>2015-07</x:v>
      </x:c>
      <x:c r="C1115" s="40" t="n">
        <x:v>300</x:v>
      </x:c>
      <x:c r="D1115" s="41" t="n">
        <x:v>0.9147</x:v>
      </x:c>
      <x:c r="E1115" s="41" t="n">
        <x:v>0.1342</x:v>
      </x:c>
      <x:c r="F1115" s="48" t="str">
        <x:v>experiments/results/hcl_ids/300/07.21-19.53.21/gen_apigraph_hcl_ids_cnt300_001_seed1_test_2013-01_2018-12.csv</x:v>
      </x:c>
    </x:row>
    <x:row r="1116" ht="20" customHeight="1">
      <x:c r="A1116" s="27" t="str">
        <x:v>HCL-IDS</x:v>
      </x:c>
      <x:c r="B1116" s="30" t="str">
        <x:v>2015-08</x:v>
      </x:c>
      <x:c r="C1116" s="40" t="n">
        <x:v>300</x:v>
      </x:c>
      <x:c r="D1116" s="41" t="n">
        <x:v>0.9498</x:v>
      </x:c>
      <x:c r="E1116" s="41" t="n">
        <x:v>0.0719</x:v>
      </x:c>
      <x:c r="F1116" s="48" t="str">
        <x:v>experiments/results/hcl_ids/300/07.21-19.53.21/gen_apigraph_hcl_ids_cnt300_001_seed1_test_2013-01_2018-12.csv</x:v>
      </x:c>
    </x:row>
    <x:row r="1117" ht="20" customHeight="1">
      <x:c r="A1117" s="27" t="str">
        <x:v>HCL-IDS</x:v>
      </x:c>
      <x:c r="B1117" s="30" t="str">
        <x:v>2015-09</x:v>
      </x:c>
      <x:c r="C1117" s="40" t="n">
        <x:v>300</x:v>
      </x:c>
      <x:c r="D1117" s="41" t="n">
        <x:v>0.8457</x:v>
      </x:c>
      <x:c r="E1117" s="41" t="n">
        <x:v>0.2552</x:v>
      </x:c>
      <x:c r="F1117" s="48" t="str">
        <x:v>experiments/results/hcl_ids/300/07.21-19.53.21/gen_apigraph_hcl_ids_cnt300_001_seed1_test_2013-01_2018-12.csv</x:v>
      </x:c>
    </x:row>
    <x:row r="1118" ht="20" customHeight="1">
      <x:c r="A1118" s="27" t="str">
        <x:v>HCL-IDS</x:v>
      </x:c>
      <x:c r="B1118" s="30" t="str">
        <x:v>2015-10</x:v>
      </x:c>
      <x:c r="C1118" s="40" t="n">
        <x:v>300</x:v>
      </x:c>
      <x:c r="D1118" s="41" t="n">
        <x:v>0.8341</x:v>
      </x:c>
      <x:c r="E1118" s="41" t="n">
        <x:v>0.2695</x:v>
      </x:c>
      <x:c r="F1118" s="48" t="str">
        <x:v>experiments/results/hcl_ids/300/07.21-19.53.21/gen_apigraph_hcl_ids_cnt300_001_seed1_test_2013-01_2018-12.csv</x:v>
      </x:c>
    </x:row>
    <x:row r="1119" ht="20" customHeight="1">
      <x:c r="A1119" s="27" t="str">
        <x:v>HCL-IDS</x:v>
      </x:c>
      <x:c r="B1119" s="30" t="str">
        <x:v>2015-11</x:v>
      </x:c>
      <x:c r="C1119" s="40" t="n">
        <x:v>300</x:v>
      </x:c>
      <x:c r="D1119" s="41" t="n">
        <x:v>0.9666</x:v>
      </x:c>
      <x:c r="E1119" s="41" t="n">
        <x:v>0.0512</x:v>
      </x:c>
      <x:c r="F1119" s="48" t="str">
        <x:v>experiments/results/hcl_ids/300/07.21-19.53.21/gen_apigraph_hcl_ids_cnt300_001_seed1_test_2013-01_2018-12.csv</x:v>
      </x:c>
    </x:row>
    <x:row r="1120" ht="20" customHeight="1">
      <x:c r="A1120" s="27" t="str">
        <x:v>HCL-IDS</x:v>
      </x:c>
      <x:c r="B1120" s="30" t="str">
        <x:v>2015-12</x:v>
      </x:c>
      <x:c r="C1120" s="40" t="n">
        <x:v>300</x:v>
      </x:c>
      <x:c r="D1120" s="41" t="n">
        <x:v>0.9609</x:v>
      </x:c>
      <x:c r="E1120" s="41" t="n">
        <x:v>0.0541</x:v>
      </x:c>
      <x:c r="F1120" s="48" t="str">
        <x:v>experiments/results/hcl_ids/300/07.21-19.53.21/gen_apigraph_hcl_ids_cnt300_001_seed1_test_2013-01_2018-12.csv</x:v>
      </x:c>
    </x:row>
    <x:row r="1121" ht="20" customHeight="1">
      <x:c r="A1121" s="27" t="str">
        <x:v>HCL-IDS</x:v>
      </x:c>
      <x:c r="B1121" s="30" t="str">
        <x:v>2016-01</x:v>
      </x:c>
      <x:c r="C1121" s="40" t="n">
        <x:v>300</x:v>
      </x:c>
      <x:c r="D1121" s="41" t="n">
        <x:v>0.9127</x:v>
      </x:c>
      <x:c r="E1121" s="41" t="n">
        <x:v>0.1491</x:v>
      </x:c>
      <x:c r="F1121" s="48" t="str">
        <x:v>experiments/results/hcl_ids/300/07.21-19.53.21/gen_apigraph_hcl_ids_cnt300_001_seed1_test_2013-01_2018-12.csv</x:v>
      </x:c>
    </x:row>
    <x:row r="1122" ht="20" customHeight="1">
      <x:c r="A1122" s="27" t="str">
        <x:v>HCL-IDS</x:v>
      </x:c>
      <x:c r="B1122" s="30" t="str">
        <x:v>2016-02</x:v>
      </x:c>
      <x:c r="C1122" s="40" t="n">
        <x:v>300</x:v>
      </x:c>
      <x:c r="D1122" s="41" t="n">
        <x:v>0.9419</x:v>
      </x:c>
      <x:c r="E1122" s="41" t="n">
        <x:v>0.0853</x:v>
      </x:c>
      <x:c r="F1122" s="48" t="str">
        <x:v>experiments/results/hcl_ids/300/07.21-19.53.21/gen_apigraph_hcl_ids_cnt300_001_seed1_test_2013-01_2018-12.csv</x:v>
      </x:c>
    </x:row>
    <x:row r="1123" ht="20" customHeight="1">
      <x:c r="A1123" s="27" t="str">
        <x:v>HCL-IDS</x:v>
      </x:c>
      <x:c r="B1123" s="30" t="str">
        <x:v>2016-03</x:v>
      </x:c>
      <x:c r="C1123" s="40" t="n">
        <x:v>300</x:v>
      </x:c>
      <x:c r="D1123" s="41" t="n">
        <x:v>0.9526</x:v>
      </x:c>
      <x:c r="E1123" s="41" t="n">
        <x:v>0.0464</x:v>
      </x:c>
      <x:c r="F1123" s="48" t="str">
        <x:v>experiments/results/hcl_ids/300/07.21-19.53.21/gen_apigraph_hcl_ids_cnt300_001_seed1_test_2013-01_2018-12.csv</x:v>
      </x:c>
    </x:row>
    <x:row r="1124" ht="20" customHeight="1">
      <x:c r="A1124" s="27" t="str">
        <x:v>HCL-IDS</x:v>
      </x:c>
      <x:c r="B1124" s="30" t="str">
        <x:v>2016-04</x:v>
      </x:c>
      <x:c r="C1124" s="40" t="n">
        <x:v>300</x:v>
      </x:c>
      <x:c r="D1124" s="41" t="n">
        <x:v>0.9481</x:v>
      </x:c>
      <x:c r="E1124" s="41" t="n">
        <x:v>0.0486</x:v>
      </x:c>
      <x:c r="F1124" s="48" t="str">
        <x:v>experiments/results/hcl_ids/300/07.21-19.53.21/gen_apigraph_hcl_ids_cnt300_001_seed1_test_2013-01_2018-12.csv</x:v>
      </x:c>
    </x:row>
    <x:row r="1125" ht="20" customHeight="1">
      <x:c r="A1125" s="27" t="str">
        <x:v>HCL-IDS</x:v>
      </x:c>
      <x:c r="B1125" s="30" t="str">
        <x:v>2016-05</x:v>
      </x:c>
      <x:c r="C1125" s="40" t="n">
        <x:v>300</x:v>
      </x:c>
      <x:c r="D1125" s="41" t="n">
        <x:v>0.9497</x:v>
      </x:c>
      <x:c r="E1125" s="41" t="n">
        <x:v>0.0692</x:v>
      </x:c>
      <x:c r="F1125" s="48" t="str">
        <x:v>experiments/results/hcl_ids/300/07.21-19.53.21/gen_apigraph_hcl_ids_cnt300_001_seed1_test_2013-01_2018-12.csv</x:v>
      </x:c>
    </x:row>
    <x:row r="1126" ht="20" customHeight="1">
      <x:c r="A1126" s="27" t="str">
        <x:v>HCL-IDS</x:v>
      </x:c>
      <x:c r="B1126" s="30" t="str">
        <x:v>2016-06</x:v>
      </x:c>
      <x:c r="C1126" s="40" t="n">
        <x:v>300</x:v>
      </x:c>
      <x:c r="D1126" s="41" t="n">
        <x:v>0.9524</x:v>
      </x:c>
      <x:c r="E1126" s="41" t="n">
        <x:v>0.065</x:v>
      </x:c>
      <x:c r="F1126" s="48" t="str">
        <x:v>experiments/results/hcl_ids/300/07.21-19.53.21/gen_apigraph_hcl_ids_cnt300_001_seed1_test_2013-01_2018-12.csv</x:v>
      </x:c>
    </x:row>
    <x:row r="1127" ht="20" customHeight="1">
      <x:c r="A1127" s="27" t="str">
        <x:v>HCL-IDS</x:v>
      </x:c>
      <x:c r="B1127" s="30" t="str">
        <x:v>2016-07</x:v>
      </x:c>
      <x:c r="C1127" s="40" t="n">
        <x:v>300</x:v>
      </x:c>
      <x:c r="D1127" s="41" t="n">
        <x:v>0.9451</x:v>
      </x:c>
      <x:c r="E1127" s="41" t="n">
        <x:v>0.0686</x:v>
      </x:c>
      <x:c r="F1127" s="48" t="str">
        <x:v>experiments/results/hcl_ids/300/07.21-19.53.21/gen_apigraph_hcl_ids_cnt300_001_seed1_test_2013-01_2018-12.csv</x:v>
      </x:c>
    </x:row>
    <x:row r="1128" ht="20" customHeight="1">
      <x:c r="A1128" s="27" t="str">
        <x:v>HCL-IDS</x:v>
      </x:c>
      <x:c r="B1128" s="30" t="str">
        <x:v>2016-08</x:v>
      </x:c>
      <x:c r="C1128" s="40" t="n">
        <x:v>300</x:v>
      </x:c>
      <x:c r="D1128" s="41" t="n">
        <x:v>0.9268</x:v>
      </x:c>
      <x:c r="E1128" s="41" t="n">
        <x:v>0.0825</x:v>
      </x:c>
      <x:c r="F1128" s="48" t="str">
        <x:v>experiments/results/hcl_ids/300/07.21-19.53.21/gen_apigraph_hcl_ids_cnt300_001_seed1_test_2013-01_2018-12.csv</x:v>
      </x:c>
    </x:row>
    <x:row r="1129" ht="20" customHeight="1">
      <x:c r="A1129" s="27" t="str">
        <x:v>HCL-IDS</x:v>
      </x:c>
      <x:c r="B1129" s="30" t="str">
        <x:v>2016-09</x:v>
      </x:c>
      <x:c r="C1129" s="40" t="n">
        <x:v>300</x:v>
      </x:c>
      <x:c r="D1129" s="41" t="n">
        <x:v>0.9555</x:v>
      </x:c>
      <x:c r="E1129" s="41" t="n">
        <x:v>0.0629</x:v>
      </x:c>
      <x:c r="F1129" s="48" t="str">
        <x:v>experiments/results/hcl_ids/300/07.21-19.53.21/gen_apigraph_hcl_ids_cnt300_001_seed1_test_2013-01_2018-12.csv</x:v>
      </x:c>
    </x:row>
    <x:row r="1130" ht="20" customHeight="1">
      <x:c r="A1130" s="27" t="str">
        <x:v>HCL-IDS</x:v>
      </x:c>
      <x:c r="B1130" s="30" t="str">
        <x:v>2016-10</x:v>
      </x:c>
      <x:c r="C1130" s="40" t="n">
        <x:v>300</x:v>
      </x:c>
      <x:c r="D1130" s="41" t="n">
        <x:v>0.9614</x:v>
      </x:c>
      <x:c r="E1130" s="41" t="n">
        <x:v>0.0386</x:v>
      </x:c>
      <x:c r="F1130" s="48" t="str">
        <x:v>experiments/results/hcl_ids/300/07.21-19.53.21/gen_apigraph_hcl_ids_cnt300_001_seed1_test_2013-01_2018-12.csv</x:v>
      </x:c>
    </x:row>
    <x:row r="1131" ht="20" customHeight="1">
      <x:c r="A1131" s="27" t="str">
        <x:v>HCL-IDS</x:v>
      </x:c>
      <x:c r="B1131" s="30" t="str">
        <x:v>2016-11</x:v>
      </x:c>
      <x:c r="C1131" s="40" t="n">
        <x:v>300</x:v>
      </x:c>
      <x:c r="D1131" s="41" t="n">
        <x:v>0.9556</x:v>
      </x:c>
      <x:c r="E1131" s="41" t="n">
        <x:v>0.0545</x:v>
      </x:c>
      <x:c r="F1131" s="48" t="str">
        <x:v>experiments/results/hcl_ids/300/07.21-19.53.21/gen_apigraph_hcl_ids_cnt300_001_seed1_test_2013-01_2018-12.csv</x:v>
      </x:c>
    </x:row>
    <x:row r="1132" ht="20" customHeight="1">
      <x:c r="A1132" s="27" t="str">
        <x:v>HCL-IDS</x:v>
      </x:c>
      <x:c r="B1132" s="30" t="str">
        <x:v>2016-12</x:v>
      </x:c>
      <x:c r="C1132" s="40" t="n">
        <x:v>300</x:v>
      </x:c>
      <x:c r="D1132" s="41" t="n">
        <x:v>0.8776</x:v>
      </x:c>
      <x:c r="E1132" s="41" t="n">
        <x:v>0.1824</x:v>
      </x:c>
      <x:c r="F1132" s="48" t="str">
        <x:v>experiments/results/hcl_ids/300/07.21-19.53.21/gen_apigraph_hcl_ids_cnt300_001_seed1_test_2013-01_2018-12.csv</x:v>
      </x:c>
    </x:row>
    <x:row r="1133" ht="20" customHeight="1">
      <x:c r="A1133" s="27" t="str">
        <x:v>HCL-IDS</x:v>
      </x:c>
      <x:c r="B1133" s="30" t="str">
        <x:v>2017-01</x:v>
      </x:c>
      <x:c r="C1133" s="40" t="n">
        <x:v>300</x:v>
      </x:c>
      <x:c r="D1133" s="41" t="n">
        <x:v>0.9258</x:v>
      </x:c>
      <x:c r="E1133" s="41" t="n">
        <x:v>0.0844</x:v>
      </x:c>
      <x:c r="F1133" s="48" t="str">
        <x:v>experiments/results/hcl_ids/300/07.21-19.53.21/gen_apigraph_hcl_ids_cnt300_001_seed1_test_2013-01_2018-12.csv</x:v>
      </x:c>
    </x:row>
    <x:row r="1134" ht="20" customHeight="1">
      <x:c r="A1134" s="27" t="str">
        <x:v>HCL-IDS</x:v>
      </x:c>
      <x:c r="B1134" s="30" t="str">
        <x:v>2017-02</x:v>
      </x:c>
      <x:c r="C1134" s="40" t="n">
        <x:v>300</x:v>
      </x:c>
      <x:c r="D1134" s="41" t="n">
        <x:v>0.9409</x:v>
      </x:c>
      <x:c r="E1134" s="41" t="n">
        <x:v>0.0707</x:v>
      </x:c>
      <x:c r="F1134" s="48" t="str">
        <x:v>experiments/results/hcl_ids/300/07.21-19.53.21/gen_apigraph_hcl_ids_cnt300_001_seed1_test_2013-01_2018-12.csv</x:v>
      </x:c>
    </x:row>
    <x:row r="1135" ht="20" customHeight="1">
      <x:c r="A1135" s="27" t="str">
        <x:v>HCL-IDS</x:v>
      </x:c>
      <x:c r="B1135" s="30" t="str">
        <x:v>2017-03</x:v>
      </x:c>
      <x:c r="C1135" s="40" t="n">
        <x:v>300</x:v>
      </x:c>
      <x:c r="D1135" s="41" t="n">
        <x:v>0.9048</x:v>
      </x:c>
      <x:c r="E1135" s="41" t="n">
        <x:v>0.0843</x:v>
      </x:c>
      <x:c r="F1135" s="48" t="str">
        <x:v>experiments/results/hcl_ids/300/07.21-19.53.21/gen_apigraph_hcl_ids_cnt300_001_seed1_test_2013-01_2018-12.csv</x:v>
      </x:c>
    </x:row>
    <x:row r="1136" ht="20" customHeight="1">
      <x:c r="A1136" s="27" t="str">
        <x:v>HCL-IDS</x:v>
      </x:c>
      <x:c r="B1136" s="30" t="str">
        <x:v>2017-04</x:v>
      </x:c>
      <x:c r="C1136" s="40" t="n">
        <x:v>300</x:v>
      </x:c>
      <x:c r="D1136" s="41" t="n">
        <x:v>0.8828</x:v>
      </x:c>
      <x:c r="E1136" s="41" t="n">
        <x:v>0.1742</x:v>
      </x:c>
      <x:c r="F1136" s="48" t="str">
        <x:v>experiments/results/hcl_ids/300/07.21-19.53.21/gen_apigraph_hcl_ids_cnt300_001_seed1_test_2013-01_2018-12.csv</x:v>
      </x:c>
    </x:row>
    <x:row r="1137" ht="20" customHeight="1">
      <x:c r="A1137" s="27" t="str">
        <x:v>HCL-IDS</x:v>
      </x:c>
      <x:c r="B1137" s="30" t="str">
        <x:v>2017-05</x:v>
      </x:c>
      <x:c r="C1137" s="40" t="n">
        <x:v>300</x:v>
      </x:c>
      <x:c r="D1137" s="41" t="n">
        <x:v>0.8958</x:v>
      </x:c>
      <x:c r="E1137" s="41" t="n">
        <x:v>0.1313</x:v>
      </x:c>
      <x:c r="F1137" s="48" t="str">
        <x:v>experiments/results/hcl_ids/300/07.21-19.53.21/gen_apigraph_hcl_ids_cnt300_001_seed1_test_2013-01_2018-12.csv</x:v>
      </x:c>
    </x:row>
    <x:row r="1138" ht="20" customHeight="1">
      <x:c r="A1138" s="27" t="str">
        <x:v>HCL-IDS</x:v>
      </x:c>
      <x:c r="B1138" s="30" t="str">
        <x:v>2017-06</x:v>
      </x:c>
      <x:c r="C1138" s="40" t="n">
        <x:v>300</x:v>
      </x:c>
      <x:c r="D1138" s="41" t="n">
        <x:v>0.9182</x:v>
      </x:c>
      <x:c r="E1138" s="41" t="n">
        <x:v>0.1062</x:v>
      </x:c>
      <x:c r="F1138" s="48" t="str">
        <x:v>experiments/results/hcl_ids/300/07.21-19.53.21/gen_apigraph_hcl_ids_cnt300_001_seed1_test_2013-01_2018-12.csv</x:v>
      </x:c>
    </x:row>
    <x:row r="1139" ht="20" customHeight="1">
      <x:c r="A1139" s="27" t="str">
        <x:v>HCL-IDS</x:v>
      </x:c>
      <x:c r="B1139" s="30" t="str">
        <x:v>2017-07</x:v>
      </x:c>
      <x:c r="C1139" s="40" t="n">
        <x:v>300</x:v>
      </x:c>
      <x:c r="D1139" s="41" t="n">
        <x:v>0.886</x:v>
      </x:c>
      <x:c r="E1139" s="41" t="n">
        <x:v>0.0856</x:v>
      </x:c>
      <x:c r="F1139" s="48" t="str">
        <x:v>experiments/results/hcl_ids/300/07.21-19.53.21/gen_apigraph_hcl_ids_cnt300_001_seed1_test_2013-01_2018-12.csv</x:v>
      </x:c>
    </x:row>
    <x:row r="1140" ht="20" customHeight="1">
      <x:c r="A1140" s="27" t="str">
        <x:v>HCL-IDS</x:v>
      </x:c>
      <x:c r="B1140" s="30" t="str">
        <x:v>2017-08</x:v>
      </x:c>
      <x:c r="C1140" s="40" t="n">
        <x:v>300</x:v>
      </x:c>
      <x:c r="D1140" s="41" t="n">
        <x:v>0.9628</x:v>
      </x:c>
      <x:c r="E1140" s="41" t="n">
        <x:v>0.0372</x:v>
      </x:c>
      <x:c r="F1140" s="48" t="str">
        <x:v>experiments/results/hcl_ids/300/07.21-19.53.21/gen_apigraph_hcl_ids_cnt300_001_seed1_test_2013-01_2018-12.csv</x:v>
      </x:c>
    </x:row>
    <x:row r="1141" ht="20" customHeight="1">
      <x:c r="A1141" s="27" t="str">
        <x:v>HCL-IDS</x:v>
      </x:c>
      <x:c r="B1141" s="30" t="str">
        <x:v>2017-09</x:v>
      </x:c>
      <x:c r="C1141" s="40" t="n">
        <x:v>300</x:v>
      </x:c>
      <x:c r="D1141" s="41" t="n">
        <x:v>0.9274</x:v>
      </x:c>
      <x:c r="E1141" s="41" t="n">
        <x:v>0.0637</x:v>
      </x:c>
      <x:c r="F1141" s="48" t="str">
        <x:v>experiments/results/hcl_ids/300/07.21-19.53.21/gen_apigraph_hcl_ids_cnt300_001_seed1_test_2013-01_2018-12.csv</x:v>
      </x:c>
    </x:row>
    <x:row r="1142" ht="20" customHeight="1">
      <x:c r="A1142" s="27" t="str">
        <x:v>HCL-IDS</x:v>
      </x:c>
      <x:c r="B1142" s="30" t="str">
        <x:v>2017-10</x:v>
      </x:c>
      <x:c r="C1142" s="40" t="n">
        <x:v>300</x:v>
      </x:c>
      <x:c r="D1142" s="41" t="n">
        <x:v>0.9302</x:v>
      </x:c>
      <x:c r="E1142" s="41" t="n">
        <x:v>0.095</x:v>
      </x:c>
      <x:c r="F1142" s="48" t="str">
        <x:v>experiments/results/hcl_ids/300/07.21-19.53.21/gen_apigraph_hcl_ids_cnt300_001_seed1_test_2013-01_2018-12.csv</x:v>
      </x:c>
    </x:row>
    <x:row r="1143" ht="20" customHeight="1">
      <x:c r="A1143" s="27" t="str">
        <x:v>HCL-IDS</x:v>
      </x:c>
      <x:c r="B1143" s="30" t="str">
        <x:v>2017-11</x:v>
      </x:c>
      <x:c r="C1143" s="40" t="n">
        <x:v>300</x:v>
      </x:c>
      <x:c r="D1143" s="41" t="n">
        <x:v>0.9312</x:v>
      </x:c>
      <x:c r="E1143" s="41" t="n">
        <x:v>0.0435</x:v>
      </x:c>
      <x:c r="F1143" s="48" t="str">
        <x:v>experiments/results/hcl_ids/300/07.21-19.53.21/gen_apigraph_hcl_ids_cnt300_001_seed1_test_2013-01_2018-12.csv</x:v>
      </x:c>
    </x:row>
    <x:row r="1144" ht="20" customHeight="1">
      <x:c r="A1144" s="27" t="str">
        <x:v>HCL-IDS</x:v>
      </x:c>
      <x:c r="B1144" s="30" t="str">
        <x:v>2017-12</x:v>
      </x:c>
      <x:c r="C1144" s="40" t="n">
        <x:v>300</x:v>
      </x:c>
      <x:c r="D1144" s="41" t="n">
        <x:v>0.8973</x:v>
      </x:c>
      <x:c r="E1144" s="41" t="n">
        <x:v>0.056</x:v>
      </x:c>
      <x:c r="F1144" s="48" t="str">
        <x:v>experiments/results/hcl_ids/300/07.21-19.53.21/gen_apigraph_hcl_ids_cnt300_001_seed1_test_2013-01_2018-12.csv</x:v>
      </x:c>
    </x:row>
    <x:row r="1145" ht="20" customHeight="1">
      <x:c r="A1145" s="27" t="str">
        <x:v>HCL-IDS</x:v>
      </x:c>
      <x:c r="B1145" s="30" t="str">
        <x:v>2018-01</x:v>
      </x:c>
      <x:c r="C1145" s="40" t="n">
        <x:v>300</x:v>
      </x:c>
      <x:c r="D1145" s="41" t="n">
        <x:v>0.9302</x:v>
      </x:c>
      <x:c r="E1145" s="41" t="n">
        <x:v>0.085</x:v>
      </x:c>
      <x:c r="F1145" s="48" t="str">
        <x:v>experiments/results/hcl_ids/300/07.21-19.53.21/gen_apigraph_hcl_ids_cnt300_001_seed1_test_2013-01_2018-12.csv</x:v>
      </x:c>
    </x:row>
    <x:row r="1146" ht="20" customHeight="1">
      <x:c r="A1146" s="27" t="str">
        <x:v>HCL-IDS</x:v>
      </x:c>
      <x:c r="B1146" s="30" t="str">
        <x:v>2018-02</x:v>
      </x:c>
      <x:c r="C1146" s="40" t="n">
        <x:v>300</x:v>
      </x:c>
      <x:c r="D1146" s="41" t="n">
        <x:v>0.9433</x:v>
      </x:c>
      <x:c r="E1146" s="41" t="n">
        <x:v>0.0828</x:v>
      </x:c>
      <x:c r="F1146" s="48" t="str">
        <x:v>experiments/results/hcl_ids/300/07.21-19.53.21/gen_apigraph_hcl_ids_cnt300_001_seed1_test_2013-01_2018-12.csv</x:v>
      </x:c>
    </x:row>
    <x:row r="1147" ht="20" customHeight="1">
      <x:c r="A1147" s="27" t="str">
        <x:v>HCL-IDS</x:v>
      </x:c>
      <x:c r="B1147" s="30" t="str">
        <x:v>2018-03</x:v>
      </x:c>
      <x:c r="C1147" s="40" t="n">
        <x:v>300</x:v>
      </x:c>
      <x:c r="D1147" s="41" t="n">
        <x:v>0.9256</x:v>
      </x:c>
      <x:c r="E1147" s="41" t="n">
        <x:v>0.0693</x:v>
      </x:c>
      <x:c r="F1147" s="48" t="str">
        <x:v>experiments/results/hcl_ids/300/07.21-19.53.21/gen_apigraph_hcl_ids_cnt300_001_seed1_test_2013-01_2018-12.csv</x:v>
      </x:c>
    </x:row>
    <x:row r="1148" ht="20" customHeight="1">
      <x:c r="A1148" s="27" t="str">
        <x:v>HCL-IDS</x:v>
      </x:c>
      <x:c r="B1148" s="30" t="str">
        <x:v>2018-04</x:v>
      </x:c>
      <x:c r="C1148" s="40" t="n">
        <x:v>300</x:v>
      </x:c>
      <x:c r="D1148" s="41" t="n">
        <x:v>0.9378</x:v>
      </x:c>
      <x:c r="E1148" s="41" t="n">
        <x:v>0.0605</x:v>
      </x:c>
      <x:c r="F1148" s="48" t="str">
        <x:v>experiments/results/hcl_ids/300/07.21-19.53.21/gen_apigraph_hcl_ids_cnt300_001_seed1_test_2013-01_2018-12.csv</x:v>
      </x:c>
    </x:row>
    <x:row r="1149" ht="20" customHeight="1">
      <x:c r="A1149" s="27" t="str">
        <x:v>HCL-IDS</x:v>
      </x:c>
      <x:c r="B1149" s="30" t="str">
        <x:v>2018-05</x:v>
      </x:c>
      <x:c r="C1149" s="40" t="n">
        <x:v>300</x:v>
      </x:c>
      <x:c r="D1149" s="41" t="n">
        <x:v>0.9436</x:v>
      </x:c>
      <x:c r="E1149" s="41" t="n">
        <x:v>0.0661</x:v>
      </x:c>
      <x:c r="F1149" s="48" t="str">
        <x:v>experiments/results/hcl_ids/300/07.21-19.53.21/gen_apigraph_hcl_ids_cnt300_001_seed1_test_2013-01_2018-12.csv</x:v>
      </x:c>
    </x:row>
    <x:row r="1150" ht="20" customHeight="1">
      <x:c r="A1150" s="27" t="str">
        <x:v>HCL-IDS</x:v>
      </x:c>
      <x:c r="B1150" s="30" t="str">
        <x:v>2018-06</x:v>
      </x:c>
      <x:c r="C1150" s="40" t="n">
        <x:v>300</x:v>
      </x:c>
      <x:c r="D1150" s="41" t="n">
        <x:v>0.9476</x:v>
      </x:c>
      <x:c r="E1150" s="41" t="n">
        <x:v>0.0921</x:v>
      </x:c>
      <x:c r="F1150" s="48" t="str">
        <x:v>experiments/results/hcl_ids/300/07.21-19.53.21/gen_apigraph_hcl_ids_cnt300_001_seed1_test_2013-01_2018-12.csv</x:v>
      </x:c>
    </x:row>
    <x:row r="1151" ht="20" customHeight="1">
      <x:c r="A1151" s="27" t="str">
        <x:v>HCL-IDS</x:v>
      </x:c>
      <x:c r="B1151" s="30" t="str">
        <x:v>2018-07</x:v>
      </x:c>
      <x:c r="C1151" s="40" t="n">
        <x:v>300</x:v>
      </x:c>
      <x:c r="D1151" s="41" t="n">
        <x:v>0.9277</x:v>
      </x:c>
      <x:c r="E1151" s="41" t="n">
        <x:v>0.1189</x:v>
      </x:c>
      <x:c r="F1151" s="48" t="str">
        <x:v>experiments/results/hcl_ids/300/07.21-19.53.21/gen_apigraph_hcl_ids_cnt300_001_seed1_test_2013-01_2018-12.csv</x:v>
      </x:c>
    </x:row>
    <x:row r="1152" ht="20" customHeight="1">
      <x:c r="A1152" s="27" t="str">
        <x:v>HCL-IDS</x:v>
      </x:c>
      <x:c r="B1152" s="30" t="str">
        <x:v>2018-08</x:v>
      </x:c>
      <x:c r="C1152" s="40" t="n">
        <x:v>300</x:v>
      </x:c>
      <x:c r="D1152" s="41" t="n">
        <x:v>0.9217</x:v>
      </x:c>
      <x:c r="E1152" s="41" t="n">
        <x:v>0.11</x:v>
      </x:c>
      <x:c r="F1152" s="48" t="str">
        <x:v>experiments/results/hcl_ids/300/07.21-19.53.21/gen_apigraph_hcl_ids_cnt300_001_seed1_test_2013-01_2018-12.csv</x:v>
      </x:c>
    </x:row>
    <x:row r="1153" ht="20" customHeight="1">
      <x:c r="A1153" s="27" t="str">
        <x:v>HCL-IDS</x:v>
      </x:c>
      <x:c r="B1153" s="30" t="str">
        <x:v>2018-09</x:v>
      </x:c>
      <x:c r="C1153" s="40" t="n">
        <x:v>300</x:v>
      </x:c>
      <x:c r="D1153" s="41" t="n">
        <x:v>0.9095</x:v>
      </x:c>
      <x:c r="E1153" s="41" t="n">
        <x:v>0.1332</x:v>
      </x:c>
      <x:c r="F1153" s="48" t="str">
        <x:v>experiments/results/hcl_ids/300/07.21-19.53.21/gen_apigraph_hcl_ids_cnt300_001_seed1_test_2013-01_2018-12.csv</x:v>
      </x:c>
    </x:row>
    <x:row r="1154" ht="20" customHeight="1">
      <x:c r="A1154" s="27" t="str">
        <x:v>HCL-IDS</x:v>
      </x:c>
      <x:c r="B1154" s="30" t="str">
        <x:v>2018-10</x:v>
      </x:c>
      <x:c r="C1154" s="40" t="n">
        <x:v>300</x:v>
      </x:c>
      <x:c r="D1154" s="41" t="n">
        <x:v>0.8913</x:v>
      </x:c>
      <x:c r="E1154" s="41" t="n">
        <x:v>0.1684</x:v>
      </x:c>
      <x:c r="F1154" s="48" t="str">
        <x:v>experiments/results/hcl_ids/300/07.21-19.53.21/gen_apigraph_hcl_ids_cnt300_001_seed1_test_2013-01_2018-12.csv</x:v>
      </x:c>
    </x:row>
    <x:row r="1155" ht="20" customHeight="1">
      <x:c r="A1155" s="27" t="str">
        <x:v>HCL-IDS</x:v>
      </x:c>
      <x:c r="B1155" s="30" t="str">
        <x:v>2018-11</x:v>
      </x:c>
      <x:c r="C1155" s="40" t="n">
        <x:v>300</x:v>
      </x:c>
      <x:c r="D1155" s="41" t="n">
        <x:v>0.9594</x:v>
      </x:c>
      <x:c r="E1155" s="41" t="n">
        <x:v>0.0523</x:v>
      </x:c>
      <x:c r="F1155" s="48" t="str">
        <x:v>experiments/results/hcl_ids/300/07.21-19.53.21/gen_apigraph_hcl_ids_cnt300_001_seed1_test_2013-01_2018-12.csv</x:v>
      </x:c>
    </x:row>
    <x:row r="1156" ht="20" customHeight="1">
      <x:c r="A1156" s="28" t="str">
        <x:v>HCL-IDS</x:v>
      </x:c>
      <x:c r="B1156" s="31" t="str">
        <x:v>2018-12</x:v>
      </x:c>
      <x:c r="C1156" s="42" t="n">
        <x:v>300</x:v>
      </x:c>
      <x:c r="D1156" s="43" t="n">
        <x:v>0.9795</x:v>
      </x:c>
      <x:c r="E1156" s="43" t="n">
        <x:v>0.0104</x:v>
      </x:c>
      <x:c r="F1156" s="49" t="str">
        <x:v>experiments/results/hcl_ids/300/07.21-19.53.21/gen_apigraph_hcl_ids_cnt300_001_seed1_test_2013-01_2018-12.csv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fc8042e759146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  <x:col min="3" max="3" width="23" hidden="0" customWidth="1"/>
    <x:col min="4" max="4" width="92" hidden="0" customWidth="1"/>
  </x:cols>
  <x:sheetData>
    <x:row r="1" ht="30" customHeight="1">
      <x:c r="A1" s="3" t="str">
        <x:v>来源文件与统计口径</x:v>
      </x:c>
      <x:c r="B1" s="3"/>
      <x:c r="C1" s="3"/>
      <x:c r="D1" s="3"/>
    </x:row>
    <x:row r="2" ht="30" customHeight="1">
      <x:c r="A2" s="7" t="str">
        <x:v>本页记录数据筛选、最差值方向和标准差定义，便于复核与重复计算。 </x:v>
      </x:c>
      <x:c r="B2" s="7"/>
      <x:c r="C2" s="7"/>
      <x:c r="D2" s="7"/>
    </x:row>
    <x:row r="4" ht="30" customHeight="1">
      <x:c r="A4" s="19" t="str">
        <x:v>项目</x:v>
      </x:c>
      <x:c r="B4" s="20" t="str">
        <x:v>口径</x:v>
      </x:c>
    </x:row>
    <x:row r="5" ht="32" customHeight="1">
      <x:c r="A5" s="26" t="str">
        <x:v>统计区间</x:v>
      </x:c>
      <x:c r="B5" s="118" t="str">
        <x:v>2013-01 至 2018-12，共72个月</x:v>
      </x:c>
    </x:row>
    <x:row r="6" ht="32" customHeight="1">
      <x:c r="A6" s="27" t="str">
        <x:v>配置范围</x:v>
      </x:c>
      <x:c r="B6" s="119" t="str">
        <x:v>每个方法使用 50、100、200、300 四个配置</x:v>
      </x:c>
    </x:row>
    <x:row r="7" ht="32" customHeight="1">
      <x:c r="A7" s="27" t="str">
        <x:v>文件选择</x:v>
      </x:c>
      <x:c r="B7" s="119" t="str">
        <x:v>每个方法/配置选择最后修改时间最新的主结果 .csv；排除 family、lifetime、pred、retrain、sample、sample_explanation、stat 等派生文件</x:v>
      </x:c>
    </x:row>
    <x:row r="8" ht="32" customHeight="1">
      <x:c r="A8" s="27" t="str">
        <x:v>初始化记录</x:v>
      </x:c>
      <x:c r="B8" s="119" t="str">
        <x:v>2012-12 为初始化记录，不纳入统计</x:v>
      </x:c>
    </x:row>
    <x:row r="9" ht="32" customHeight="1">
      <x:c r="A9" s="27" t="str">
        <x:v>最差值定义</x:v>
      </x:c>
      <x:c r="B9" s="119" t="str">
        <x:v>F1 越高越好，因此最差 F1 = 最小值；FNR 越低越好，因此最差 FNR = 最大值</x:v>
      </x:c>
    </x:row>
    <x:row r="10" ht="32" customHeight="1">
      <x:c r="A10" s="27" t="str">
        <x:v>标准差定义</x:v>
      </x:c>
      <x:c r="B10" s="119" t="str">
        <x:v>逐月及总体标准差均采用总体标准差 STDEV.P；月度统计在四个配置之间计算</x:v>
      </x:c>
    </x:row>
    <x:row r="11" ht="32" customHeight="1">
      <x:c r="A11" s="28" t="str">
        <x:v>配置对比</x:v>
      </x:c>
      <x:c r="B11" s="120" t="str">
        <x:v>主表每个配置的指标在该方法/配置的72个月之间计算；IDS行括号内变化量 = IDS - 对应基线</x:v>
      </x:c>
    </x:row>
    <x:row r="12" ht="30" customHeight="1">
      <x:c r="A12" s="19" t="str">
        <x:v>方法</x:v>
      </x:c>
      <x:c r="B12" s="20" t="str">
        <x:v>配置</x:v>
      </x:c>
      <x:c r="C12" s="20" t="str">
        <x:v>文件最后修改时间</x:v>
      </x:c>
      <x:c r="D12" s="20" t="str">
        <x:v>采用的来源文件（相对项目根目录）</x:v>
      </x:c>
    </x:row>
    <x:row r="13" ht="20" customHeight="1">
      <x:c r="A13" s="26" t="str">
        <x:v>CADE</x:v>
      </x:c>
      <x:c r="B13" s="32" t="n">
        <x:v>50</x:v>
      </x:c>
      <x:c r="C13" s="29" t="str">
        <x:v>2026-07-22 14:49:02 +08:00</x:v>
      </x:c>
      <x:c r="D13" s="47" t="str">
        <x:v>experiments/results/cade/50/07.22-10.54.32/cade_apigraph_127_warm_lr0.0001_adam_cosine_1_e100_wlr5e-05_we50_mwlr5e-05_mwe50_test_2013-01_2018-12_cnt50.csv</x:v>
      </x:c>
    </x:row>
    <x:row r="14" ht="20" customHeight="1">
      <x:c r="A14" s="27" t="str">
        <x:v>CADE</x:v>
      </x:c>
      <x:c r="B14" s="33" t="n">
        <x:v>100</x:v>
      </x:c>
      <x:c r="C14" s="30" t="str">
        <x:v>2026-07-23 10:50:19 +08:00</x:v>
      </x:c>
      <x:c r="D14" s="48" t="str">
        <x:v>experiments/results/cade/100/07.22-11.27.35/cade_apigraph_127_warm_lr0.0001_adam_cosine_1_e100_wlr5e-05_we50_mwlr5e-05_mwe50_test_2013-01_2018-12_cnt100.csv</x:v>
      </x:c>
    </x:row>
    <x:row r="15" ht="20" customHeight="1">
      <x:c r="A15" s="27" t="str">
        <x:v>CADE</x:v>
      </x:c>
      <x:c r="B15" s="33" t="n">
        <x:v>200</x:v>
      </x:c>
      <x:c r="C15" s="30" t="str">
        <x:v>2026-07-22 21:26:58 +08:00</x:v>
      </x:c>
      <x:c r="D15" s="48" t="str">
        <x:v>experiments/results/cade/200/07.22-16.19.11/cade_apigraph_127_warm_lr0.0001_adam_cosine_1_e100_wlr5e-05_we50_mwlr5e-05_mwe50_test_2013-01_2018-12_cnt200.csv</x:v>
      </x:c>
    </x:row>
    <x:row r="16" ht="20" customHeight="1">
      <x:c r="A16" s="27" t="str">
        <x:v>CADE</x:v>
      </x:c>
      <x:c r="B16" s="33" t="n">
        <x:v>300</x:v>
      </x:c>
      <x:c r="C16" s="30" t="str">
        <x:v>2026-07-23 02:52:17 +08:00</x:v>
      </x:c>
      <x:c r="D16" s="48" t="str">
        <x:v>experiments/results/cade/300/07.22-21.16.04/cade_apigraph_127_warm_lr0.0001_adam_cosine_1_e100_wlr5e-05_we50_mwlr5e-05_mwe50_test_2013-01_2018-12_cnt300.csv</x:v>
      </x:c>
    </x:row>
    <x:row r="17" ht="20" customHeight="1">
      <x:c r="A17" s="27" t="str">
        <x:v>CADE-IDS</x:v>
      </x:c>
      <x:c r="B17" s="33" t="n">
        <x:v>50</x:v>
      </x:c>
      <x:c r="C17" s="30" t="str">
        <x:v>2026-07-21 15:31:57 +08:00</x:v>
      </x:c>
      <x:c r="D17" s="48" t="str">
        <x:v>experiments/results/cade_ids/50/07.21-11.31.19/cade_ids_apigraph_cnt50_127_seed1_test_2013-01_2018-12.csv</x:v>
      </x:c>
    </x:row>
    <x:row r="18" ht="20" customHeight="1">
      <x:c r="A18" s="27" t="str">
        <x:v>CADE-IDS</x:v>
      </x:c>
      <x:c r="B18" s="33" t="n">
        <x:v>100</x:v>
      </x:c>
      <x:c r="C18" s="30" t="str">
        <x:v>2026-07-21 21:34:22 +08:00</x:v>
      </x:c>
      <x:c r="D18" s="48" t="str">
        <x:v>experiments/results/cade_ids/100/07.21-16.54.51/cade_ids_apigraph_cnt100_127_seed1_test_2013-01_2018-12.csv</x:v>
      </x:c>
    </x:row>
    <x:row r="19" ht="20" customHeight="1">
      <x:c r="A19" s="27" t="str">
        <x:v>CADE-IDS</x:v>
      </x:c>
      <x:c r="B19" s="33" t="n">
        <x:v>200</x:v>
      </x:c>
      <x:c r="C19" s="30" t="str">
        <x:v>2026-07-22 03:00:46 +08:00</x:v>
      </x:c>
      <x:c r="D19" s="48" t="str">
        <x:v>experiments/results/cade_ids/200/07.21-22.00.41/cade_ids_apigraph_cnt200_127_seed1_test_2013-01_2018-12.csv</x:v>
      </x:c>
    </x:row>
    <x:row r="20" ht="20" customHeight="1">
      <x:c r="A20" s="27" t="str">
        <x:v>CADE-IDS</x:v>
      </x:c>
      <x:c r="B20" s="33" t="n">
        <x:v>300</x:v>
      </x:c>
      <x:c r="C20" s="30" t="str">
        <x:v>2026-07-22 05:09:53 +08:00</x:v>
      </x:c>
      <x:c r="D20" s="48" t="str">
        <x:v>experiments/results/cade_ids/300/07.21-23.18.54/cade_ids_apigraph_cnt300_127_seed1_test_2013-01_2018-12.csv</x:v>
      </x:c>
    </x:row>
    <x:row r="21" ht="20" customHeight="1">
      <x:c r="A21" s="27" t="str">
        <x:v>HCL</x:v>
      </x:c>
      <x:c r="B21" s="33" t="n">
        <x:v>50</x:v>
      </x:c>
      <x:c r="C21" s="30" t="str">
        <x:v>2026-07-22 13:18:29 +08:00</x:v>
      </x:c>
      <x:c r="D21" s="48" t="str">
        <x:v>experiments/results/hcl/50/07.22-10.54.56/gen_apigraph_cnt50_001_warm_lr0.003_sgd_step_0.95_e250_adam_wlr0.00015_we100_test_2013-01_2018-12_cnt50.csv</x:v>
      </x:c>
    </x:row>
    <x:row r="22" ht="20" customHeight="1">
      <x:c r="A22" s="27" t="str">
        <x:v>HCL</x:v>
      </x:c>
      <x:c r="B22" s="33" t="n">
        <x:v>100</x:v>
      </x:c>
      <x:c r="C22" s="30" t="str">
        <x:v>2026-07-23 10:51:34 +08:00</x:v>
      </x:c>
      <x:c r="D22" s="48" t="str">
        <x:v>experiments/results/hcl/100/07.22-11.28.58/gen_apigraph_cnt100_001_warm_lr0.003_sgd_step_0.95_e250_adam_wlr0.00015_we100_test_2013-01_2018-12_cnt100.csv</x:v>
      </x:c>
    </x:row>
    <x:row r="23" ht="20" customHeight="1">
      <x:c r="A23" s="27" t="str">
        <x:v>HCL</x:v>
      </x:c>
      <x:c r="B23" s="33" t="n">
        <x:v>200</x:v>
      </x:c>
      <x:c r="C23" s="30" t="str">
        <x:v>2026-07-22 18:51:49 +08:00</x:v>
      </x:c>
      <x:c r="D23" s="48" t="str">
        <x:v>experiments/results/hcl/200/07.22-16.19.15/gen_apigraph_cnt200_001_warm_lr0.003_sgd_step_0.95_e250_adam_wlr0.00015_we100_test_2013-01_2018-12_cnt200.csv</x:v>
      </x:c>
    </x:row>
    <x:row r="24" ht="20" customHeight="1">
      <x:c r="A24" s="27" t="str">
        <x:v>HCL</x:v>
      </x:c>
      <x:c r="B24" s="33" t="n">
        <x:v>300</x:v>
      </x:c>
      <x:c r="C24" s="30" t="str">
        <x:v>2026-07-23 10:51:19 +08:00</x:v>
      </x:c>
      <x:c r="D24" s="48" t="str">
        <x:v>experiments/results/hcl/300/07.22-17.19.40/gen_apigraph_cnt300_001_warm_lr0.003_sgd_step_0.95_e250_adam_wlr0.00015_we100_test_2013-01_2018-12_cnt300.csv</x:v>
      </x:c>
    </x:row>
    <x:row r="25" ht="20" customHeight="1">
      <x:c r="A25" s="27" t="str">
        <x:v>HCL-IDS</x:v>
      </x:c>
      <x:c r="B25" s="33" t="n">
        <x:v>50</x:v>
      </x:c>
      <x:c r="C25" s="30" t="str">
        <x:v>2026-07-21 13:50:38 +08:00</x:v>
      </x:c>
      <x:c r="D25" s="48" t="str">
        <x:v>experiments/results/hcl_ids/50/07.21-11.30.49/gen_apigraph_hcl_ids_cnt50_001_seed1_test_2013-01_2018-12.csv</x:v>
      </x:c>
    </x:row>
    <x:row r="26" ht="20" customHeight="1">
      <x:c r="A26" s="27" t="str">
        <x:v>HCL-IDS</x:v>
      </x:c>
      <x:c r="B26" s="33" t="n">
        <x:v>100</x:v>
      </x:c>
      <x:c r="C26" s="30" t="str">
        <x:v>2026-07-21 16:53:56 +08:00</x:v>
      </x:c>
      <x:c r="D26" s="48" t="str">
        <x:v>experiments/results/hcl_ids/100/07.21-14.21.02/gen_apigraph_hcl_ids_cnt100_001_seed1_test_2013-01_2018-12.csv</x:v>
      </x:c>
    </x:row>
    <x:row r="27" ht="20" customHeight="1">
      <x:c r="A27" s="27" t="str">
        <x:v>HCL-IDS</x:v>
      </x:c>
      <x:c r="B27" s="33" t="n">
        <x:v>200</x:v>
      </x:c>
      <x:c r="C27" s="30" t="str">
        <x:v>2026-07-21 19:42:57 +08:00</x:v>
      </x:c>
      <x:c r="D27" s="48" t="str">
        <x:v>experiments/results/hcl_ids/200/07.21-16.54.55/gen_apigraph_hcl_ids_cnt200_001_seed1_test_2013-01_2018-12.csv</x:v>
      </x:c>
    </x:row>
    <x:row r="28" ht="20" customHeight="1">
      <x:c r="A28" s="28" t="str">
        <x:v>HCL-IDS</x:v>
      </x:c>
      <x:c r="B28" s="34" t="n">
        <x:v>300</x:v>
      </x:c>
      <x:c r="C28" s="31" t="str">
        <x:v>2026-07-21 22:56:46 +08:00</x:v>
      </x:c>
      <x:c r="D28" s="49" t="str">
        <x:v>experiments/results/hcl_ids/300/07.21-19.53.21/gen_apigraph_hcl_ids_cnt300_001_seed1_test_2013-01_2018-12.csv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cab32e586814d18"/>
  </x:tableParts>
</x:worksheet>
</file>